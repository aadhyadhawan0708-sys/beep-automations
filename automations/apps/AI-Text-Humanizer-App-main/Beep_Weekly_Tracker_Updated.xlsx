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500" firstSheet="0" activeTab="0" autoFilterDateGrouping="1"/>
  </bookViews>
  <sheets>
    <sheet xmlns:r="http://schemas.openxmlformats.org/officeDocument/2006/relationships" name="Weekly Pulse" sheetId="1" state="visible" r:id="rId1"/>
    <sheet xmlns:r="http://schemas.openxmlformats.org/officeDocument/2006/relationships" name="Blockers &amp; Actions" sheetId="2" state="visible" r:id="rId2"/>
    <sheet xmlns:r="http://schemas.openxmlformats.org/officeDocument/2006/relationships" name="Core Problems" sheetId="3" state="visible" r:id="rId3"/>
    <sheet xmlns:r="http://schemas.openxmlformats.org/officeDocument/2006/relationships" name="FO Role &amp; Beep Weekly" sheetId="4" state="visible" r:id="rId4"/>
    <sheet xmlns:r="http://schemas.openxmlformats.org/officeDocument/2006/relationships" name="Vision &amp; Thesis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2E75B6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333333"/>
      <sz val="10"/>
    </font>
    <font>
      <name val="Arial"/>
      <family val="2"/>
      <color rgb="FF333333"/>
      <sz val="10"/>
    </font>
    <font>
      <name val="Calibri"/>
      <charset val="1"/>
      <family val="2"/>
      <color rgb="FF000000"/>
      <sz val="11"/>
    </font>
    <font>
      <name val="Arial"/>
      <family val="2"/>
      <b val="1"/>
      <color rgb="FF999999"/>
      <sz val="10"/>
    </font>
  </fonts>
  <fills count="5">
    <fill>
      <patternFill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5F7FA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10" fontId="5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9" fontId="5" fillId="0" borderId="0" applyAlignment="1" pivotButton="0" quotePrefix="0" xfId="0">
      <alignment horizontal="center" vertical="center" wrapText="1"/>
    </xf>
    <xf numFmtId="16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5100"/>
      <rgbColor rgb="FF666699"/>
      <rgbColor rgb="FF999999"/>
      <rgbColor rgb="FF003366"/>
      <rgbColor rgb="FF339966"/>
      <rgbColor rgb="FF003300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 fitToPage="1"/>
  </sheetPr>
  <dimension ref="A1:H51"/>
  <sheetViews>
    <sheetView showGridLines="0" tabSelected="1" zoomScale="115" zoomScaleNormal="100" workbookViewId="0">
      <pane ySplit="4" topLeftCell="A23" activePane="bottomLeft" state="frozen"/>
      <selection pane="bottomLeft" activeCell="D28" sqref="D28"/>
    </sheetView>
  </sheetViews>
  <sheetFormatPr baseColWidth="10" defaultColWidth="8.6640625" defaultRowHeight="15" customHeight="1"/>
  <cols>
    <col width="25.33203125" customWidth="1" min="1" max="1"/>
    <col width="14" customWidth="1" min="2" max="6"/>
    <col width="10" customWidth="1" min="7" max="7"/>
    <col width="18" customWidth="1" min="8" max="8"/>
  </cols>
  <sheetData>
    <row r="1" ht="17.5" customHeight="1">
      <c r="A1" s="33" t="inlineStr">
        <is>
          <t>BEEP — WEEKLY PULSE</t>
        </is>
      </c>
    </row>
    <row r="2">
      <c r="A2" s="35" t="inlineStr">
        <is>
          <t>April</t>
        </is>
      </c>
    </row>
    <row r="4" ht="15" customHeight="1">
      <c r="A4" s="34" t="inlineStr">
        <is>
          <t>BEEP LEARN</t>
        </is>
      </c>
    </row>
    <row r="5">
      <c r="A5" s="1" t="inlineStr">
        <is>
          <t>Metric</t>
        </is>
      </c>
      <c r="B5" s="1" t="inlineStr">
        <is>
          <t>Month Target</t>
        </is>
      </c>
      <c r="C5" s="1" t="inlineStr">
        <is>
          <t>W1</t>
        </is>
      </c>
      <c r="D5" s="1" t="inlineStr">
        <is>
          <t>W2</t>
        </is>
      </c>
      <c r="E5" s="1" t="inlineStr">
        <is>
          <t>W3</t>
        </is>
      </c>
      <c r="F5" s="1" t="inlineStr">
        <is>
          <t>W4</t>
        </is>
      </c>
      <c r="G5" s="1" t="inlineStr">
        <is>
          <t>% Hit</t>
        </is>
      </c>
      <c r="H5" s="1" t="inlineStr">
        <is>
          <t>Status</t>
        </is>
      </c>
    </row>
    <row r="6">
      <c r="A6" s="2" t="inlineStr">
        <is>
          <t>Cash-in-Bank (₹)</t>
        </is>
      </c>
      <c r="B6" s="3" t="inlineStr">
        <is>
          <t>50,00,000</t>
        </is>
      </c>
      <c r="C6" s="16" t="n">
        <v>571828</v>
      </c>
      <c r="D6" s="16" t="n">
        <v>1176946</v>
      </c>
      <c r="E6" s="4" t="n">
        <v>709496</v>
      </c>
      <c r="F6" s="4" t="n">
        <v>281816</v>
      </c>
      <c r="G6" s="5">
        <f>IF(AND(ISNUMBER(F6),ISNUMBER(B6),B6&lt;&gt;0),F6/B6,"")</f>
        <v/>
      </c>
      <c r="H6" s="4">
        <f>IF(G6="","",IF(G6&gt;=0.9,"🟢",IF(G6&gt;=0.7,"🟡","🔴")))</f>
        <v/>
      </c>
    </row>
    <row r="7">
      <c r="A7" s="6" t="inlineStr">
        <is>
          <t>New Admissions</t>
        </is>
      </c>
      <c r="B7" s="7" t="n">
        <v>127</v>
      </c>
      <c r="C7" s="8" t="n">
        <v>12</v>
      </c>
      <c r="D7" s="8" t="n">
        <v>21</v>
      </c>
      <c r="E7" s="8" t="n">
        <v>23</v>
      </c>
      <c r="F7" s="8" t="n">
        <v>4</v>
      </c>
      <c r="G7" s="9">
        <f>IF(AND(ISNUMBER(F7),ISNUMBER(B7),B7&lt;&gt;0),F7/B7,"")</f>
        <v/>
      </c>
      <c r="H7" s="8">
        <f>IF(G7="","",IF(G7&gt;=0.9,"🟢",IF(G7&gt;=0.7,"🟡","🔴")))</f>
        <v/>
      </c>
    </row>
    <row r="8">
      <c r="A8" s="2" t="inlineStr">
        <is>
          <t>Net Admissions (after drops)</t>
        </is>
      </c>
      <c r="B8" s="10" t="n">
        <v>112</v>
      </c>
      <c r="C8" s="4" t="n">
        <v>12</v>
      </c>
      <c r="D8" s="4" t="n">
        <v>21</v>
      </c>
      <c r="E8" s="4" t="n">
        <v>23</v>
      </c>
      <c r="F8" s="4" t="n">
        <v>4</v>
      </c>
      <c r="G8" s="5">
        <f>IF(AND(ISNUMBER(F8),ISNUMBER(B8),B8&lt;&gt;0),F8/B8,"")</f>
        <v/>
      </c>
      <c r="H8" s="4">
        <f>IF(G8="","",IF(G8&gt;=0.9,"🟢",IF(G8&gt;=0.7,"🟡","🔴")))</f>
        <v/>
      </c>
    </row>
    <row r="9">
      <c r="A9" s="2" t="inlineStr">
        <is>
          <t>Leads generated</t>
        </is>
      </c>
      <c r="B9" s="10" t="n"/>
      <c r="C9" s="4" t="n">
        <v>1699</v>
      </c>
      <c r="D9" s="4" t="n">
        <v>1490</v>
      </c>
      <c r="E9" s="4" t="n">
        <v>1960</v>
      </c>
      <c r="F9" s="4" t="n">
        <v>302</v>
      </c>
      <c r="G9" s="5" t="n"/>
      <c r="H9" s="4" t="n"/>
    </row>
    <row r="10">
      <c r="A10" s="2" t="inlineStr">
        <is>
          <t>Qualified Leads</t>
        </is>
      </c>
      <c r="B10" s="10" t="n"/>
      <c r="C10" s="4" t="n">
        <v>5</v>
      </c>
      <c r="D10" s="4" t="n">
        <v>23</v>
      </c>
      <c r="E10" s="4" t="n">
        <v>33</v>
      </c>
      <c r="F10" s="4" t="n">
        <v>7</v>
      </c>
      <c r="G10" s="5" t="n"/>
      <c r="H10" s="4" t="n"/>
    </row>
    <row r="11">
      <c r="A11" s="2" t="inlineStr">
        <is>
          <t>Lead - Qualified</t>
        </is>
      </c>
      <c r="B11" s="10" t="n"/>
      <c r="C11" s="14" t="n">
        <v>0.0029</v>
      </c>
      <c r="D11" s="14" t="n">
        <v>0.0154</v>
      </c>
      <c r="E11" s="4" t="n">
        <v>0.0168</v>
      </c>
      <c r="F11" s="4" t="n">
        <v>0.0232</v>
      </c>
      <c r="G11" s="5" t="n"/>
      <c r="H11" s="4" t="n"/>
    </row>
    <row r="12">
      <c r="A12" s="2" t="inlineStr">
        <is>
          <t>Qualified - demo booked</t>
        </is>
      </c>
      <c r="B12" s="10" t="n"/>
      <c r="C12" s="5" t="n">
        <v>0.11</v>
      </c>
      <c r="D12" s="5" t="n">
        <v>0.24</v>
      </c>
      <c r="E12" s="4" t="n"/>
      <c r="F12" s="4" t="n"/>
      <c r="G12" s="5" t="n"/>
      <c r="H12" s="4" t="n"/>
    </row>
    <row r="13">
      <c r="A13" s="2" t="inlineStr">
        <is>
          <t>demo - enrollment</t>
        </is>
      </c>
      <c r="B13" s="10" t="n"/>
      <c r="C13" s="5" t="n">
        <v>2.4</v>
      </c>
      <c r="D13" s="5" t="n">
        <v>0.913</v>
      </c>
      <c r="E13" s="4" t="n">
        <v>0.697</v>
      </c>
      <c r="F13" s="4" t="n">
        <v>0.5714</v>
      </c>
      <c r="G13" s="5" t="n"/>
      <c r="H13" s="4" t="n"/>
    </row>
    <row r="14">
      <c r="A14" s="2" t="inlineStr">
        <is>
          <t>lead to enrollment</t>
        </is>
      </c>
      <c r="B14" s="10" t="n"/>
      <c r="C14" s="14" t="n">
        <v>0.0071</v>
      </c>
      <c r="D14" s="14" t="n">
        <v>0.0141</v>
      </c>
      <c r="E14" s="4" t="n">
        <v>0.0117</v>
      </c>
      <c r="F14" s="4" t="n">
        <v>0.0132</v>
      </c>
      <c r="G14" s="5" t="n"/>
      <c r="H14" s="4" t="n"/>
    </row>
    <row r="15">
      <c r="A15" s="6" t="inlineStr">
        <is>
          <t>Dropout Rate</t>
        </is>
      </c>
      <c r="B15" s="7" t="inlineStr">
        <is>
          <t>≤10%</t>
        </is>
      </c>
      <c r="C15" s="9" t="n">
        <v>0</v>
      </c>
      <c r="D15" s="8" t="inlineStr">
        <is>
          <t>3-5%</t>
        </is>
      </c>
      <c r="E15" s="8" t="n"/>
      <c r="F15" s="8" t="n"/>
      <c r="G15" s="9">
        <f>IF(AND(ISNUMBER(F15),ISNUMBER(B15),B15&lt;&gt;0),F15/B15,"")</f>
        <v/>
      </c>
      <c r="H15" s="8">
        <f>IF(G15="","",IF(G15&gt;=0.9,"🟢",IF(G15&gt;=0.7,"🟡","🔴")))</f>
        <v/>
      </c>
    </row>
    <row r="16">
      <c r="A16" s="2" t="inlineStr">
        <is>
          <t>Conversion % (Intent→Admit)</t>
        </is>
      </c>
      <c r="B16" s="10" t="inlineStr">
        <is>
          <t>≥25%</t>
        </is>
      </c>
      <c r="C16" s="14">
        <f>7/38</f>
        <v/>
      </c>
      <c r="D16" s="4" t="inlineStr">
        <is>
          <t>20-22%</t>
        </is>
      </c>
      <c r="E16" s="4" t="n"/>
      <c r="F16" s="4" t="n"/>
      <c r="G16" s="5">
        <f>IF(AND(ISNUMBER(F16),ISNUMBER(B16),B16&lt;&gt;0),F16/B16,"")</f>
        <v/>
      </c>
      <c r="H16" s="4">
        <f>IF(G16="","",IF(G16&gt;=0.9,"🟢",IF(G16&gt;=0.7,"🟡","🔴")))</f>
        <v/>
      </c>
    </row>
    <row r="17">
      <c r="A17" s="6" t="inlineStr">
        <is>
          <t>Daily Cash-in Avg (₹)</t>
        </is>
      </c>
      <c r="B17" s="11" t="n">
        <v>150000</v>
      </c>
      <c r="C17" s="15" t="n">
        <v>66807</v>
      </c>
      <c r="D17" s="15" t="n">
        <v>124625</v>
      </c>
      <c r="E17" s="8" t="n">
        <v>88325</v>
      </c>
      <c r="F17" s="8" t="n">
        <v>140500</v>
      </c>
      <c r="G17" s="9">
        <f>IF(AND(ISNUMBER(F17),ISNUMBER(B17),B17&lt;&gt;0),F17/B17,"")</f>
        <v/>
      </c>
      <c r="H17" s="8">
        <f>IF(G17="","",IF(G17&gt;=0.9,"🟢",IF(G17&gt;=0.7,"🟡","🔴")))</f>
        <v/>
      </c>
    </row>
    <row r="18">
      <c r="A18" s="2" t="inlineStr">
        <is>
          <t>Ad Spend (₹)</t>
        </is>
      </c>
      <c r="B18" s="10" t="inlineStr">
        <is>
          <t>10,00,000</t>
        </is>
      </c>
      <c r="C18" s="16" t="n">
        <v>140854</v>
      </c>
      <c r="D18" s="16" t="n">
        <v>220381</v>
      </c>
      <c r="E18" s="12" t="n">
        <v>267640</v>
      </c>
      <c r="F18" s="4" t="n">
        <v>47087</v>
      </c>
      <c r="G18" s="5">
        <f>IF(AND(ISNUMBER(F18),ISNUMBER(B18),B18&lt;&gt;0),F18/B18,"")</f>
        <v/>
      </c>
      <c r="H18" s="4">
        <f>IF(G18="","",IF(G18&gt;=0.9,"🟢",IF(G18&gt;=0.7,"🟡","🔴")))</f>
        <v/>
      </c>
    </row>
    <row r="19">
      <c r="A19" s="6" t="inlineStr">
        <is>
          <t>ROAS</t>
        </is>
      </c>
      <c r="B19" s="7" t="inlineStr">
        <is>
          <t>≥2.0x</t>
        </is>
      </c>
      <c r="C19" s="8" t="n">
        <v>3.32</v>
      </c>
      <c r="D19" s="8" t="n">
        <v>4.52</v>
      </c>
      <c r="E19" s="8" t="n">
        <v>2.64</v>
      </c>
      <c r="F19" s="8" t="n">
        <v>5.97</v>
      </c>
      <c r="G19" s="9">
        <f>IF(AND(ISNUMBER(F19),ISNUMBER(B19),B19&lt;&gt;0),F19/B19,"")</f>
        <v/>
      </c>
      <c r="H19" s="8">
        <f>IF(G19="","",IF(G19&gt;=0.9,"🟢",IF(G19&gt;=0.7,"🟡","🔴")))</f>
        <v/>
      </c>
    </row>
    <row r="20">
      <c r="A20" s="6" t="inlineStr">
        <is>
          <t>Referral Admissions</t>
        </is>
      </c>
      <c r="B20" s="7" t="inlineStr">
        <is>
          <t>Start</t>
        </is>
      </c>
      <c r="C20" s="8" t="n">
        <v>1</v>
      </c>
      <c r="D20" s="8" t="n">
        <v>2</v>
      </c>
      <c r="E20" s="8" t="n"/>
      <c r="F20" s="8" t="n"/>
      <c r="G20" s="9">
        <f>IF(AND(ISNUMBER(F20),ISNUMBER(B20),B20&lt;&gt;0),F20/B20,"")</f>
        <v/>
      </c>
      <c r="H20" s="8">
        <f>IF(G20="","",IF(G20&gt;=0.9,"🟢",IF(G20&gt;=0.7,"🟡","🔴")))</f>
        <v/>
      </c>
    </row>
    <row r="21">
      <c r="A21" s="2" t="inlineStr">
        <is>
          <t>Companies for Placements</t>
        </is>
      </c>
      <c r="B21" s="10" t="n">
        <v>25</v>
      </c>
      <c r="C21" s="4" t="n">
        <v>8</v>
      </c>
      <c r="D21" s="4" t="n">
        <v>8</v>
      </c>
      <c r="E21" s="4" t="n">
        <v>8</v>
      </c>
      <c r="F21" s="4" t="n">
        <v>8</v>
      </c>
      <c r="G21" s="5">
        <f>IF(AND(ISNUMBER(F21),ISNUMBER(B21),B21&lt;&gt;0),F21/B21,"")</f>
        <v/>
      </c>
      <c r="H21" s="4">
        <f>IF(G21="","",IF(G21&gt;=0.9,"🟢",IF(G21&gt;=0.7,"🟡","🔴")))</f>
        <v/>
      </c>
    </row>
    <row r="22">
      <c r="A22" s="6" t="inlineStr">
        <is>
          <t>Team Avg Achievement %</t>
        </is>
      </c>
      <c r="B22" s="7" t="inlineStr">
        <is>
          <t>≥70%</t>
        </is>
      </c>
      <c r="C22" s="8" t="inlineStr">
        <is>
          <t>38.1%</t>
        </is>
      </c>
      <c r="D22" s="8" t="inlineStr">
        <is>
          <t>71.2%</t>
        </is>
      </c>
      <c r="E22" s="8" t="inlineStr">
        <is>
          <t>78.7%</t>
        </is>
      </c>
      <c r="F22" s="8" t="inlineStr">
        <is>
          <t>66.6%</t>
        </is>
      </c>
      <c r="G22" s="9">
        <f>IF(AND(ISNUMBER(F22),ISNUMBER(B22),B22&lt;&gt;0),F22/B22,"")</f>
        <v/>
      </c>
      <c r="H22" s="8">
        <f>IF(G22="","",IF(G22&gt;=0.9,"🟢",IF(G22&gt;=0.7,"🟡","🔴")))</f>
        <v/>
      </c>
    </row>
    <row r="23">
      <c r="A23" s="27" t="n"/>
      <c r="B23" s="28" t="n"/>
      <c r="C23" s="29" t="n"/>
      <c r="D23" s="29" t="n"/>
      <c r="E23" s="29" t="n"/>
      <c r="F23" s="29" t="n"/>
      <c r="G23" s="30" t="n"/>
      <c r="H23" s="29" t="n"/>
    </row>
    <row r="25" ht="15" customHeight="1">
      <c r="A25" s="34" t="inlineStr">
        <is>
          <t>BEEP APP</t>
        </is>
      </c>
    </row>
    <row r="26">
      <c r="A26" s="1" t="inlineStr">
        <is>
          <t>Metric</t>
        </is>
      </c>
      <c r="B26" s="1" t="inlineStr">
        <is>
          <t>Month Target</t>
        </is>
      </c>
      <c r="C26" s="1" t="inlineStr">
        <is>
          <t>W1</t>
        </is>
      </c>
      <c r="D26" s="1" t="inlineStr">
        <is>
          <t>W2</t>
        </is>
      </c>
      <c r="E26" s="1" t="inlineStr">
        <is>
          <t>W3</t>
        </is>
      </c>
      <c r="F26" s="1" t="inlineStr">
        <is>
          <t>W4</t>
        </is>
      </c>
      <c r="G26" s="1" t="inlineStr">
        <is>
          <t>% Hit</t>
        </is>
      </c>
      <c r="H26" s="1" t="inlineStr">
        <is>
          <t>Status</t>
        </is>
      </c>
    </row>
    <row r="27">
      <c r="A27" s="6" t="inlineStr">
        <is>
          <t>New Installs</t>
        </is>
      </c>
      <c r="B27" s="7" t="n">
        <v>65000</v>
      </c>
      <c r="C27" s="8" t="n">
        <v>605</v>
      </c>
      <c r="D27" s="8" t="n"/>
      <c r="E27" s="8" t="n"/>
      <c r="F27" s="8" t="n"/>
      <c r="G27" s="9">
        <f>IF(AND(ISNUMBER(F27),ISNUMBER(B27),B27&lt;&gt;0),F27/B27,"")</f>
        <v/>
      </c>
      <c r="H27" s="8">
        <f>IF(G27="","",IF(G27&gt;=0.9,"🟢",IF(G27&gt;=0.7,"🟡","🔴")))</f>
        <v/>
      </c>
    </row>
    <row r="28">
      <c r="A28" s="2" t="inlineStr">
        <is>
          <t>New Signups</t>
        </is>
      </c>
      <c r="B28" s="10" t="n">
        <v>50000</v>
      </c>
      <c r="C28" s="4" t="n">
        <v>848</v>
      </c>
      <c r="D28" s="4" t="n">
        <v>1255</v>
      </c>
      <c r="E28" s="4" t="n">
        <v>982</v>
      </c>
      <c r="F28" s="4" t="n">
        <v>162</v>
      </c>
      <c r="G28" s="5">
        <f>IF(AND(ISNUMBER(F28),ISNUMBER(B28),B28&lt;&gt;0),F28/B28,"")</f>
        <v/>
      </c>
      <c r="H28" s="4">
        <f>IF(G28="","",IF(G28&gt;=0.9,"🟢",IF(G28&gt;=0.7,"🟡","🔴")))</f>
        <v/>
      </c>
    </row>
    <row r="29">
      <c r="A29" s="6" t="inlineStr">
        <is>
          <t>DAU</t>
        </is>
      </c>
      <c r="B29" s="7" t="n">
        <v>10000</v>
      </c>
      <c r="C29" s="8" t="n">
        <v>348</v>
      </c>
      <c r="D29" s="8" t="n">
        <v>458</v>
      </c>
      <c r="E29" s="8" t="n">
        <v>369</v>
      </c>
      <c r="F29" s="8" t="n">
        <v>308</v>
      </c>
      <c r="G29" s="9">
        <f>IF(AND(ISNUMBER(F29),ISNUMBER(B29),B29&lt;&gt;0),F29/B29,"")</f>
        <v/>
      </c>
      <c r="H29" s="8">
        <f>IF(G29="","",IF(G29&gt;=0.9,"🟢",IF(G29&gt;=0.7,"🟡","🔴")))</f>
        <v/>
      </c>
    </row>
    <row r="30">
      <c r="A30" s="2" t="inlineStr">
        <is>
          <t>DAU/MAU %</t>
        </is>
      </c>
      <c r="B30" s="10" t="inlineStr">
        <is>
          <t>≥30%</t>
        </is>
      </c>
      <c r="C30" s="14" t="n">
        <v>0.0456</v>
      </c>
      <c r="D30" s="4" t="n">
        <v>0.0305</v>
      </c>
      <c r="E30" s="4" t="n">
        <v>0.044</v>
      </c>
      <c r="F30" s="4" t="n">
        <v>0.0315</v>
      </c>
      <c r="G30" s="5">
        <f>IF(AND(ISNUMBER(F30),ISNUMBER(B30),B30&lt;&gt;0),F30/B30,"")</f>
        <v/>
      </c>
      <c r="H30" s="4">
        <f>IF(G30="","",IF(G30&gt;=0.9,"🟢",IF(G30&gt;=0.7,"🟡","🔴")))</f>
        <v/>
      </c>
    </row>
    <row r="31">
      <c r="A31" s="6" t="inlineStr">
        <is>
          <t>Pro New Subscribers</t>
        </is>
      </c>
      <c r="B31" s="7" t="n">
        <v>3500</v>
      </c>
      <c r="C31" s="8" t="n">
        <v>66</v>
      </c>
      <c r="D31" s="8" t="n">
        <v>65</v>
      </c>
      <c r="E31" s="8" t="n">
        <v>78</v>
      </c>
      <c r="F31" s="8" t="n">
        <v>16</v>
      </c>
      <c r="G31" s="9">
        <f>IF(AND(ISNUMBER(F31),ISNUMBER(B31),B31&lt;&gt;0),F31/B31,"")</f>
        <v/>
      </c>
      <c r="H31" s="8">
        <f>IF(G31="","",IF(G31&gt;=0.9,"🟢",IF(G31&gt;=0.7,"🟡","🔴")))</f>
        <v/>
      </c>
    </row>
    <row r="32">
      <c r="A32" s="2" t="inlineStr">
        <is>
          <t>Pro Plan  (₹)</t>
        </is>
      </c>
      <c r="B32" s="3" t="n">
        <v>1000000</v>
      </c>
      <c r="C32" s="4" t="n">
        <v>5058</v>
      </c>
      <c r="D32" s="4" t="n">
        <v>3937</v>
      </c>
      <c r="E32" s="4" t="n">
        <v>2896</v>
      </c>
      <c r="F32" s="4" t="n">
        <v>816</v>
      </c>
      <c r="G32" s="5">
        <f>IF(AND(ISNUMBER(F32),ISNUMBER(B32),B32&lt;&gt;0),F32/B32,"")</f>
        <v/>
      </c>
      <c r="H32" s="4">
        <f>IF(G32="","",IF(G32&gt;=0.9,"🟢",IF(G32&gt;=0.7,"🟡","🔴")))</f>
        <v/>
      </c>
    </row>
    <row r="33">
      <c r="A33" s="6" t="inlineStr">
        <is>
          <t>CPI (₹)</t>
        </is>
      </c>
      <c r="B33" s="7" t="inlineStr">
        <is>
          <t>≤7</t>
        </is>
      </c>
      <c r="C33" s="8" t="n">
        <v>9.800000000000001</v>
      </c>
      <c r="D33" s="8" t="n"/>
      <c r="E33" s="8" t="n"/>
      <c r="F33" s="8" t="n"/>
      <c r="G33" s="9">
        <f>IF(AND(ISNUMBER(F33),ISNUMBER(B33),B33&lt;&gt;0),F33/B33,"")</f>
        <v/>
      </c>
      <c r="H33" s="8">
        <f>IF(G33="","",IF(G33&gt;=0.9,"🟢",IF(G33&gt;=0.7,"🟡","🔴")))</f>
        <v/>
      </c>
    </row>
    <row r="34">
      <c r="A34" s="2" t="inlineStr">
        <is>
          <t>CPA per Signup (₹)</t>
        </is>
      </c>
      <c r="B34" s="10" t="inlineStr">
        <is>
          <t>Track</t>
        </is>
      </c>
      <c r="C34" s="4" t="n">
        <v>17.21</v>
      </c>
      <c r="D34" s="4" t="n"/>
      <c r="E34" s="12" t="n"/>
      <c r="F34" s="4" t="n"/>
      <c r="G34" s="5">
        <f>IF(AND(ISNUMBER(F34),ISNUMBER(B34),B34&lt;&gt;0),F34/B34,"")</f>
        <v/>
      </c>
      <c r="H34" s="4">
        <f>IF(G34="","",IF(G34&gt;=0.9,"🟢",IF(G34&gt;=0.7,"🟡","🔴")))</f>
        <v/>
      </c>
    </row>
    <row r="35">
      <c r="A35" s="2" t="inlineStr">
        <is>
          <t>Cost per pro plan</t>
        </is>
      </c>
      <c r="B35" s="10" t="n"/>
      <c r="C35" s="4" t="n">
        <v>211</v>
      </c>
      <c r="D35" s="4" t="n"/>
      <c r="E35" s="12" t="n"/>
      <c r="F35" s="4" t="n"/>
      <c r="G35" s="5" t="n"/>
      <c r="H35" s="4" t="n"/>
    </row>
    <row r="36">
      <c r="A36" s="6" t="inlineStr">
        <is>
          <t>W1 Retention %</t>
        </is>
      </c>
      <c r="B36" s="7" t="inlineStr">
        <is>
          <t>≥25%</t>
        </is>
      </c>
      <c r="C36" s="17" t="n">
        <v>0.0566</v>
      </c>
      <c r="D36" s="8" t="n">
        <v>0.0992</v>
      </c>
      <c r="E36" s="8" t="n">
        <v>0.0712</v>
      </c>
      <c r="F36" s="8" t="n">
        <v>0.0287</v>
      </c>
      <c r="G36" s="9">
        <f>IF(AND(ISNUMBER(F36),ISNUMBER(B36),B36&lt;&gt;0),F36/B36,"")</f>
        <v/>
      </c>
      <c r="H36" s="8">
        <f>IF(G36="","",IF(G36&gt;=0.9,"🟢",IF(G36&gt;=0.7,"🟡","🔴")))</f>
        <v/>
      </c>
    </row>
    <row r="37">
      <c r="A37" s="2" t="inlineStr">
        <is>
          <t>W4 Retention %</t>
        </is>
      </c>
      <c r="B37" s="10" t="inlineStr">
        <is>
          <t>≥12%</t>
        </is>
      </c>
      <c r="C37" s="4" t="n"/>
      <c r="D37" s="4" t="n"/>
      <c r="E37" s="4" t="n"/>
      <c r="F37" s="4" t="n"/>
      <c r="G37" s="5">
        <f>IF(AND(ISNUMBER(F37),ISNUMBER(B37),B37&lt;&gt;0),F37/B37,"")</f>
        <v/>
      </c>
      <c r="H37" s="4">
        <f>IF(G37="","",IF(G37&gt;=0.9,"🟢",IF(G37&gt;=0.7,"🟡","🔴")))</f>
        <v/>
      </c>
    </row>
    <row r="38">
      <c r="A38" s="6" t="inlineStr">
        <is>
          <t>Content Pieces/Week</t>
        </is>
      </c>
      <c r="B38" s="7" t="n">
        <v>50</v>
      </c>
      <c r="C38" s="31" t="inlineStr">
        <is>
          <t>14/18</t>
        </is>
      </c>
      <c r="D38" s="8" t="n"/>
      <c r="E38" s="8" t="n"/>
      <c r="F38" s="8" t="n"/>
      <c r="G38" s="9">
        <f>IF(AND(ISNUMBER(F38),ISNUMBER(B38),B38&lt;&gt;0),F38/B38,"")</f>
        <v/>
      </c>
      <c r="H38" s="8">
        <f>IF(G38="","",IF(G38&gt;=0.9,"🟢",IF(G38&gt;=0.7,"🟡","🔴")))</f>
        <v/>
      </c>
    </row>
    <row r="39">
      <c r="A39" s="2" t="inlineStr">
        <is>
          <t>Trial→Paid %</t>
        </is>
      </c>
      <c r="B39" s="10" t="inlineStr">
        <is>
          <t>≥7%</t>
        </is>
      </c>
      <c r="C39" s="14">
        <f>37/442</f>
        <v/>
      </c>
      <c r="D39" s="4" t="n"/>
      <c r="E39" s="4" t="n"/>
      <c r="F39" s="4" t="n"/>
      <c r="G39" s="5">
        <f>IF(AND(ISNUMBER(F39),ISNUMBER(B39),B39&lt;&gt;0),F39/B39,"")</f>
        <v/>
      </c>
      <c r="H39" s="4">
        <f>IF(G39="","",IF(G39&gt;=0.9,"🟢",IF(G39&gt;=0.7,"🟡","🔴")))</f>
        <v/>
      </c>
    </row>
    <row r="41" ht="15" customHeight="1">
      <c r="A41" s="34" t="inlineStr">
        <is>
          <t>UNIBEEP &amp; BEEPHIRE  (Frozen — Red flags only)</t>
        </is>
      </c>
    </row>
    <row r="42">
      <c r="A42" s="1" t="inlineStr">
        <is>
          <t>Vertical</t>
        </is>
      </c>
      <c r="B42" s="1" t="inlineStr">
        <is>
          <t>Revenue (₹)</t>
        </is>
      </c>
      <c r="C42" s="1" t="inlineStr">
        <is>
          <t>Churn?</t>
        </is>
      </c>
      <c r="D42" s="1" t="inlineStr">
        <is>
          <t>Critical Bug?</t>
        </is>
      </c>
      <c r="E42" s="1" t="inlineStr">
        <is>
          <t>Pipeline OK?</t>
        </is>
      </c>
      <c r="F42" s="1" t="inlineStr">
        <is>
          <t>Team Issue?</t>
        </is>
      </c>
      <c r="G42" s="1" t="inlineStr">
        <is>
          <t>Red Flag?</t>
        </is>
      </c>
      <c r="H42" s="1" t="inlineStr">
        <is>
          <t>Founder Action?</t>
        </is>
      </c>
    </row>
    <row r="43">
      <c r="A43" s="10" t="inlineStr">
        <is>
          <t>UniBeep</t>
        </is>
      </c>
      <c r="B43" s="10" t="n"/>
      <c r="C43" s="4" t="inlineStr">
        <is>
          <t>No</t>
        </is>
      </c>
      <c r="D43" s="4" t="inlineStr">
        <is>
          <t>No</t>
        </is>
      </c>
      <c r="E43" s="4" t="inlineStr">
        <is>
          <t>Yes</t>
        </is>
      </c>
      <c r="F43" s="4" t="inlineStr">
        <is>
          <t>No</t>
        </is>
      </c>
      <c r="G43" s="4">
        <f>IF(OR(C43="Yes",D43="Yes",F43="Yes"),"🔴","🟢")</f>
        <v/>
      </c>
      <c r="H43" s="4">
        <f>IF(G43="🔴","YES — Discuss","No")</f>
        <v/>
      </c>
    </row>
    <row r="44">
      <c r="A44" s="7" t="inlineStr">
        <is>
          <t>BeepHire</t>
        </is>
      </c>
      <c r="B44" s="7" t="n"/>
      <c r="C44" s="8" t="inlineStr">
        <is>
          <t>No</t>
        </is>
      </c>
      <c r="D44" s="8" t="inlineStr">
        <is>
          <t>No</t>
        </is>
      </c>
      <c r="E44" s="8" t="inlineStr">
        <is>
          <t>Yes</t>
        </is>
      </c>
      <c r="F44" s="8" t="inlineStr">
        <is>
          <t>No</t>
        </is>
      </c>
      <c r="G44" s="8">
        <f>IF(OR(C44="Yes",D44="Yes",F44="Yes"),"🔴","🟢")</f>
        <v/>
      </c>
      <c r="H44" s="8">
        <f>IF(G44="🔴","YES — Discuss","No")</f>
        <v/>
      </c>
    </row>
    <row r="46" ht="15" customHeight="1">
      <c r="A46" s="34" t="inlineStr">
        <is>
          <t>COMPANY HEALTH</t>
        </is>
      </c>
    </row>
    <row r="47">
      <c r="A47" s="1" t="inlineStr">
        <is>
          <t>Metric</t>
        </is>
      </c>
      <c r="B47" s="1" t="inlineStr">
        <is>
          <t>Target</t>
        </is>
      </c>
      <c r="C47" s="1" t="inlineStr">
        <is>
          <t>Actual</t>
        </is>
      </c>
      <c r="D47" s="1" t="inlineStr">
        <is>
          <t>Gap</t>
        </is>
      </c>
      <c r="E47" s="1" t="inlineStr">
        <is>
          <t>Status</t>
        </is>
      </c>
      <c r="F47" s="1" t="inlineStr">
        <is>
          <t>Owner</t>
        </is>
      </c>
      <c r="G47" s="1" t="n"/>
      <c r="H47" s="1" t="n"/>
    </row>
    <row r="48">
      <c r="A48" s="7" t="inlineStr">
        <is>
          <t>Total Revenue MTD (₹)</t>
        </is>
      </c>
      <c r="B48" s="7" t="n">
        <v>4000000</v>
      </c>
      <c r="C48" s="8" t="n"/>
      <c r="D48" s="8">
        <f>IF(ISNUMBER(C48),C48-B48,"")</f>
        <v/>
      </c>
      <c r="E48" s="8">
        <f>IF(D48="","",IF(D48&gt;=0,"🟢",IF(D48&gt;=-500000,"🟡","🔴")))</f>
        <v/>
      </c>
      <c r="F48" s="8" t="inlineStr">
        <is>
          <t>All</t>
        </is>
      </c>
      <c r="G48" s="8" t="n"/>
      <c r="H48" s="8" t="n"/>
    </row>
    <row r="49">
      <c r="A49" s="10" t="inlineStr">
        <is>
          <t>Burn Rate (₹/month)</t>
        </is>
      </c>
      <c r="B49" s="10" t="n">
        <v>4500000</v>
      </c>
      <c r="C49" s="4" t="n"/>
      <c r="D49" s="4">
        <f>IF(ISNUMBER(C49),B49-C49,"")</f>
        <v/>
      </c>
      <c r="E49" s="4">
        <f>IF(D49="","",IF(C49&lt;=B49,"🟢","🔴"))</f>
        <v/>
      </c>
      <c r="F49" s="4" t="inlineStr">
        <is>
          <t>Finance</t>
        </is>
      </c>
      <c r="G49" s="4" t="n"/>
      <c r="H49" s="4" t="n"/>
    </row>
    <row r="50">
      <c r="A50" s="7" t="inlineStr">
        <is>
          <t>Runway (months)</t>
        </is>
      </c>
      <c r="B50" s="7" t="n">
        <v>8</v>
      </c>
      <c r="C50" s="8" t="n"/>
      <c r="D50" s="8">
        <f>IF(ISNUMBER(C50),C50-B50,"")</f>
        <v/>
      </c>
      <c r="E50" s="8">
        <f>IF(D50="","",IF(C50&gt;=8,"🟢",IF(C50&gt;=5,"🟡","🔴")))</f>
        <v/>
      </c>
      <c r="F50" s="8" t="inlineStr">
        <is>
          <t>Saurabh</t>
        </is>
      </c>
      <c r="G50" s="8" t="n"/>
      <c r="H50" s="8" t="n"/>
    </row>
    <row r="51">
      <c r="A51" s="10" t="inlineStr">
        <is>
          <t>Bridge Round (₹ Cr)</t>
        </is>
      </c>
      <c r="B51" s="10" t="n">
        <v>1.2</v>
      </c>
      <c r="C51" s="4" t="n"/>
      <c r="D51" s="4">
        <f>IF(ISNUMBER(C51),C51-B51,"")</f>
        <v/>
      </c>
      <c r="E51" s="4">
        <f>IF(D51="","",IF(C51&gt;=1.2,"🟢",IF(C51&gt;0,"🟡","🔴")))</f>
        <v/>
      </c>
      <c r="F51" s="4" t="inlineStr">
        <is>
          <t>Saurabh</t>
        </is>
      </c>
      <c r="G51" s="4" t="n"/>
      <c r="H51" s="4" t="n"/>
    </row>
  </sheetData>
  <mergeCells count="6">
    <mergeCell ref="A4:H4"/>
    <mergeCell ref="A25:H25"/>
    <mergeCell ref="A2:H2"/>
    <mergeCell ref="A41:H41"/>
    <mergeCell ref="A1:H1"/>
    <mergeCell ref="A46:H46"/>
  </mergeCells>
  <pageMargins left="0.75" right="0.75" top="1" bottom="1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H33"/>
  <sheetViews>
    <sheetView showGridLines="0" zoomScaleNormal="100" workbookViewId="0">
      <selection activeCell="C5" sqref="C5"/>
    </sheetView>
  </sheetViews>
  <sheetFormatPr baseColWidth="10" defaultColWidth="8.6640625" defaultRowHeight="15" customHeight="1"/>
  <cols>
    <col width="5.6640625" customWidth="1" style="26" min="1" max="1"/>
    <col width="32.33203125" customWidth="1" min="2" max="2"/>
    <col width="10" customWidth="1" min="3" max="4"/>
    <col width="16" customWidth="1" min="5" max="5"/>
    <col width="55.1640625" customWidth="1" min="6" max="6"/>
    <col width="10" customWidth="1" min="7" max="7"/>
    <col width="14" customWidth="1" style="21" min="8" max="8"/>
  </cols>
  <sheetData>
    <row r="1" ht="17.5" customHeight="1">
      <c r="A1" s="33" t="inlineStr">
        <is>
          <t>KEY BLOCKERS &amp; ACTION ITEMS</t>
        </is>
      </c>
    </row>
    <row r="3" ht="15" customHeight="1">
      <c r="A3" s="34" t="inlineStr">
        <is>
          <t>TOP BLOCKERS</t>
        </is>
      </c>
    </row>
    <row r="4">
      <c r="A4" s="22" t="inlineStr">
        <is>
          <t>#</t>
        </is>
      </c>
      <c r="B4" s="1" t="inlineStr">
        <is>
          <t>Blocker</t>
        </is>
      </c>
      <c r="C4" s="1" t="inlineStr">
        <is>
          <t>Vertical</t>
        </is>
      </c>
      <c r="D4" s="1" t="inlineStr">
        <is>
          <t>Impact</t>
        </is>
      </c>
      <c r="E4" s="1" t="inlineStr">
        <is>
          <t>Owner</t>
        </is>
      </c>
      <c r="F4" s="1" t="inlineStr">
        <is>
          <t>Fix / Next Step</t>
        </is>
      </c>
      <c r="G4" s="1" t="inlineStr">
        <is>
          <t>Due</t>
        </is>
      </c>
      <c r="H4" s="20" t="inlineStr">
        <is>
          <t>Done?</t>
        </is>
      </c>
    </row>
    <row r="5" ht="28" customHeight="1">
      <c r="A5" s="23" t="n">
        <v>1</v>
      </c>
      <c r="B5" s="6" t="inlineStr">
        <is>
          <t>CRM Migration</t>
        </is>
      </c>
      <c r="C5" s="8" t="inlineStr">
        <is>
          <t>Learn</t>
        </is>
      </c>
      <c r="D5" s="8" t="inlineStr">
        <is>
          <t>P0</t>
        </is>
      </c>
      <c r="E5" s="4" t="inlineStr">
        <is>
          <t>Kanwaljeet (yogesh)</t>
        </is>
      </c>
      <c r="F5" s="8" t="inlineStr">
        <is>
          <t xml:space="preserve">connect with kanwaljeet and saubhagya </t>
        </is>
      </c>
      <c r="G5" t="inlineStr">
        <is>
          <t>this week</t>
        </is>
      </c>
      <c r="H5" s="21" t="inlineStr">
        <is>
          <t>in progress</t>
        </is>
      </c>
    </row>
    <row r="6" ht="28" customHeight="1">
      <c r="A6" s="24" t="n">
        <v>2</v>
      </c>
      <c r="B6" s="2" t="inlineStr">
        <is>
          <t xml:space="preserve">UGC Agency </t>
        </is>
      </c>
      <c r="C6" s="4" t="inlineStr">
        <is>
          <t>Learn</t>
        </is>
      </c>
      <c r="D6" s="4" t="inlineStr">
        <is>
          <t>P0</t>
        </is>
      </c>
      <c r="E6" s="32" t="inlineStr">
        <is>
          <t>Aadhya</t>
        </is>
      </c>
      <c r="F6" s="4" t="inlineStr">
        <is>
          <t>Aadhya to reach out and onboard an UGC agency for beep app and beep learn creatives</t>
        </is>
      </c>
      <c r="G6" s="8" t="inlineStr">
        <is>
          <t>this week</t>
        </is>
      </c>
      <c r="H6" s="7" t="inlineStr">
        <is>
          <t>in progress</t>
        </is>
      </c>
    </row>
    <row r="7">
      <c r="A7" s="23" t="n">
        <v>3</v>
      </c>
      <c r="B7" s="6" t="inlineStr">
        <is>
          <t>Revenue Recognition</t>
        </is>
      </c>
      <c r="C7" s="8" t="inlineStr">
        <is>
          <t>Learn</t>
        </is>
      </c>
      <c r="D7" s="8" t="inlineStr">
        <is>
          <t>P0</t>
        </is>
      </c>
      <c r="E7" s="8" t="inlineStr">
        <is>
          <t>Sales team/Pooja</t>
        </is>
      </c>
      <c r="F7" s="8" t="inlineStr">
        <is>
          <t>only 1.27 lacs CIB, Push Pooja for more conversions</t>
        </is>
      </c>
      <c r="G7" s="8" t="inlineStr">
        <is>
          <t>this week</t>
        </is>
      </c>
      <c r="H7" s="10" t="inlineStr">
        <is>
          <t>in progress</t>
        </is>
      </c>
    </row>
    <row r="8" ht="28" customHeight="1">
      <c r="A8" s="24" t="n">
        <v>4</v>
      </c>
      <c r="B8" s="2" t="inlineStr">
        <is>
          <t>Lead Quality</t>
        </is>
      </c>
      <c r="C8" s="4" t="inlineStr">
        <is>
          <t>Learn</t>
        </is>
      </c>
      <c r="D8" s="4" t="inlineStr">
        <is>
          <t>P0</t>
        </is>
      </c>
      <c r="E8" s="4" t="inlineStr">
        <is>
          <t>Saubhagya (Saurabh)</t>
        </is>
      </c>
      <c r="F8" s="4" t="inlineStr">
        <is>
          <t xml:space="preserve">Lead qualification issue - never enquired, irrelevant </t>
        </is>
      </c>
      <c r="G8" s="8" t="inlineStr">
        <is>
          <t>this week</t>
        </is>
      </c>
      <c r="H8" s="7" t="inlineStr">
        <is>
          <t>in progress</t>
        </is>
      </c>
    </row>
    <row r="9">
      <c r="A9" s="23" t="n">
        <v>5</v>
      </c>
      <c r="B9" s="6" t="inlineStr">
        <is>
          <t>No mentor session</t>
        </is>
      </c>
      <c r="C9" s="8" t="inlineStr">
        <is>
          <t>Learn</t>
        </is>
      </c>
      <c r="D9" s="8" t="inlineStr">
        <is>
          <t>P1</t>
        </is>
      </c>
      <c r="E9" s="8" t="inlineStr">
        <is>
          <t>Sales team</t>
        </is>
      </c>
      <c r="F9" s="18" t="inlineStr">
        <is>
          <t>lead qualification issue - no mentor sessions from last 2 days</t>
        </is>
      </c>
      <c r="G9" s="8" t="inlineStr">
        <is>
          <t>this week</t>
        </is>
      </c>
      <c r="H9" s="10" t="inlineStr">
        <is>
          <t>in progress</t>
        </is>
      </c>
    </row>
    <row r="10">
      <c r="A10" s="24" t="n">
        <v>6</v>
      </c>
      <c r="B10" s="2" t="inlineStr">
        <is>
          <t xml:space="preserve">Beep Bites </t>
        </is>
      </c>
      <c r="C10" s="4" t="inlineStr">
        <is>
          <t>App</t>
        </is>
      </c>
      <c r="D10" s="4" t="inlineStr">
        <is>
          <t>P1</t>
        </is>
      </c>
      <c r="E10" s="4" t="inlineStr">
        <is>
          <t>Muskan (Rakhi)</t>
        </is>
      </c>
      <c r="F10" s="4" t="inlineStr">
        <is>
          <t>Competitor research; test UGC/trending; Tier 2/3</t>
        </is>
      </c>
      <c r="G10" s="8" t="inlineStr">
        <is>
          <t>this week</t>
        </is>
      </c>
      <c r="H10" s="7" t="inlineStr">
        <is>
          <t>not done</t>
        </is>
      </c>
    </row>
    <row r="11" ht="28" customHeight="1">
      <c r="A11" s="24" t="n">
        <v>7</v>
      </c>
      <c r="B11" s="2" t="inlineStr">
        <is>
          <t>Beep Bites - Content Scripting and Analysis</t>
        </is>
      </c>
      <c r="C11" s="4" t="inlineStr">
        <is>
          <t>App</t>
        </is>
      </c>
      <c r="D11" s="4" t="inlineStr">
        <is>
          <t>P1</t>
        </is>
      </c>
      <c r="E11" s="4" t="inlineStr">
        <is>
          <t>Muskan/Rakhi</t>
        </is>
      </c>
      <c r="F11" s="4" t="inlineStr">
        <is>
          <t>research backed scripting for beep bites, collaborate with other creators and influencers for high quality content</t>
        </is>
      </c>
      <c r="G11" s="8" t="inlineStr">
        <is>
          <t xml:space="preserve"> 10th april</t>
        </is>
      </c>
      <c r="H11" s="10" t="inlineStr">
        <is>
          <t>not done</t>
        </is>
      </c>
    </row>
    <row r="12">
      <c r="A12" s="23" t="n">
        <v>8</v>
      </c>
      <c r="B12" s="6" t="inlineStr">
        <is>
          <t>Web App Tracking (meta)</t>
        </is>
      </c>
      <c r="C12" s="8" t="inlineStr">
        <is>
          <t>App</t>
        </is>
      </c>
      <c r="D12" s="8" t="inlineStr">
        <is>
          <t>P1</t>
        </is>
      </c>
      <c r="E12" s="8" t="inlineStr">
        <is>
          <t>Gursewak (yogesh)</t>
        </is>
      </c>
      <c r="F12" s="8" t="inlineStr">
        <is>
          <t>fix tracking and reporting for webapp related events</t>
        </is>
      </c>
      <c r="G12" s="8" t="inlineStr">
        <is>
          <t>this week</t>
        </is>
      </c>
      <c r="H12" s="10" t="inlineStr">
        <is>
          <t>not done</t>
        </is>
      </c>
    </row>
    <row r="13" ht="32" customHeight="1">
      <c r="A13" s="24" t="n">
        <v>9</v>
      </c>
      <c r="B13" s="2" t="inlineStr">
        <is>
          <t>User Activity Tracking and Report</t>
        </is>
      </c>
      <c r="C13" s="4" t="inlineStr">
        <is>
          <t>App</t>
        </is>
      </c>
      <c r="D13" s="4" t="inlineStr">
        <is>
          <t>P1</t>
        </is>
      </c>
      <c r="E13" s="4" t="inlineStr">
        <is>
          <t>Dhruva (aadhya)</t>
        </is>
      </c>
      <c r="F13" s="19" t="inlineStr">
        <is>
          <t>Analyze user activity data with Yogesh using Mixpanel, focusing on cohort and variant performance, and share a simplified cohort analysis</t>
        </is>
      </c>
      <c r="G13" s="8" t="inlineStr">
        <is>
          <t>this week</t>
        </is>
      </c>
      <c r="H13" s="7" t="inlineStr">
        <is>
          <t>not done</t>
        </is>
      </c>
    </row>
    <row r="14">
      <c r="A14" s="23" t="n">
        <v>10</v>
      </c>
      <c r="B14" s="6" t="inlineStr">
        <is>
          <t>Low Quantum of lead</t>
        </is>
      </c>
      <c r="C14" s="8" t="inlineStr">
        <is>
          <t>Learn</t>
        </is>
      </c>
      <c r="D14" s="8" t="n"/>
      <c r="E14" s="8" t="inlineStr">
        <is>
          <t>Saubhagya</t>
        </is>
      </c>
      <c r="F14" s="8" t="inlineStr">
        <is>
          <t>only 464 generated in 4 days, required quantum 1500+</t>
        </is>
      </c>
      <c r="G14" s="8" t="inlineStr">
        <is>
          <t>this week</t>
        </is>
      </c>
      <c r="H14" s="10" t="inlineStr">
        <is>
          <t>in progress</t>
        </is>
      </c>
    </row>
    <row r="15" ht="28" customHeight="1">
      <c r="A15" s="24" t="n">
        <v>11</v>
      </c>
      <c r="B15" s="2" t="inlineStr">
        <is>
          <t>Design and Development Delay</t>
        </is>
      </c>
      <c r="C15" s="4" t="inlineStr">
        <is>
          <t>app</t>
        </is>
      </c>
      <c r="D15" s="4" t="inlineStr">
        <is>
          <t>P1</t>
        </is>
      </c>
      <c r="E15" s="4" t="inlineStr">
        <is>
          <t>entire product team (yogesh)</t>
        </is>
      </c>
      <c r="F15" s="4" t="inlineStr">
        <is>
          <t>delays from the entire product team - push more for developemnt</t>
        </is>
      </c>
      <c r="G15" s="4" t="n"/>
      <c r="H15" s="10" t="n"/>
    </row>
    <row r="17" ht="15" customHeight="1">
      <c r="A17" s="34" t="n"/>
    </row>
    <row r="18">
      <c r="A18" s="22" t="n"/>
      <c r="B18" s="1" t="n"/>
      <c r="C18" s="1" t="n"/>
      <c r="D18" s="1" t="n"/>
      <c r="E18" s="1" t="n"/>
      <c r="F18" s="1" t="n"/>
      <c r="G18" s="1" t="n"/>
      <c r="H18" s="20" t="n"/>
    </row>
    <row r="19">
      <c r="A19" s="24" t="n"/>
      <c r="B19" s="2" t="n"/>
      <c r="C19" s="4" t="n"/>
      <c r="D19" s="4" t="n"/>
      <c r="E19" s="4" t="n"/>
      <c r="F19" s="4" t="n"/>
      <c r="G19" s="4" t="n"/>
      <c r="H19" s="10" t="n"/>
    </row>
    <row r="20">
      <c r="A20" s="23" t="n"/>
      <c r="B20" s="6" t="n"/>
      <c r="C20" s="8" t="n"/>
      <c r="D20" s="8" t="n"/>
      <c r="E20" s="8" t="n"/>
      <c r="F20" s="8" t="n"/>
      <c r="G20" s="8" t="n"/>
      <c r="H20" s="7" t="n"/>
    </row>
    <row r="21">
      <c r="A21" s="24" t="n"/>
      <c r="B21" s="2" t="n"/>
      <c r="C21" s="4" t="n"/>
      <c r="D21" s="4" t="n"/>
      <c r="E21" s="4" t="n"/>
      <c r="F21" s="4" t="n"/>
      <c r="G21" s="4" t="n"/>
      <c r="H21" s="10" t="n"/>
    </row>
    <row r="22">
      <c r="A22" s="23" t="n"/>
      <c r="B22" s="6" t="n"/>
      <c r="C22" s="8" t="n"/>
      <c r="D22" s="8" t="n"/>
      <c r="E22" s="8" t="n"/>
      <c r="F22" s="8" t="n"/>
      <c r="G22" s="8" t="n"/>
      <c r="H22" s="7" t="n"/>
    </row>
    <row r="23">
      <c r="A23" s="24" t="n"/>
      <c r="B23" s="2" t="n"/>
      <c r="C23" s="4" t="n"/>
      <c r="D23" s="4" t="n"/>
      <c r="E23" s="4" t="n"/>
      <c r="F23" s="4" t="n"/>
      <c r="G23" s="4" t="n"/>
      <c r="H23" s="10" t="n"/>
    </row>
    <row r="24">
      <c r="A24" s="23" t="n"/>
      <c r="B24" s="6" t="n"/>
      <c r="C24" s="8" t="n"/>
      <c r="D24" s="8" t="n"/>
      <c r="E24" s="8" t="n"/>
      <c r="F24" s="8" t="n"/>
      <c r="G24" s="8" t="n"/>
      <c r="H24" s="7" t="n"/>
    </row>
    <row r="25">
      <c r="A25" s="24" t="n"/>
      <c r="B25" s="2" t="n"/>
      <c r="C25" s="4" t="n"/>
      <c r="D25" s="4" t="n"/>
      <c r="E25" s="4" t="n"/>
      <c r="F25" s="4" t="n"/>
      <c r="G25" s="4" t="n"/>
      <c r="H25" s="10" t="n"/>
    </row>
    <row r="26">
      <c r="A26" s="23" t="n"/>
      <c r="B26" s="6" t="n"/>
      <c r="C26" s="8" t="n"/>
      <c r="D26" s="8" t="n"/>
      <c r="E26" s="8" t="n"/>
      <c r="F26" s="8" t="n"/>
      <c r="G26" s="8" t="n"/>
      <c r="H26" s="7" t="n"/>
    </row>
    <row r="27">
      <c r="A27" s="24" t="n"/>
      <c r="B27" s="2" t="n"/>
      <c r="C27" s="4" t="n"/>
      <c r="D27" s="4" t="n"/>
      <c r="E27" s="4" t="n"/>
      <c r="F27" s="4" t="n"/>
      <c r="G27" s="4" t="n"/>
      <c r="H27" s="10" t="n"/>
    </row>
    <row r="28">
      <c r="A28" s="23" t="n"/>
      <c r="B28" s="6" t="n"/>
      <c r="C28" s="8" t="n"/>
      <c r="D28" s="8" t="n"/>
      <c r="E28" s="8" t="n"/>
      <c r="F28" s="8" t="n"/>
      <c r="G28" s="8" t="n"/>
      <c r="H28" s="7" t="n"/>
    </row>
    <row r="29">
      <c r="A29" s="24" t="n"/>
      <c r="B29" s="2" t="n"/>
      <c r="C29" s="4" t="n"/>
      <c r="D29" s="4" t="n"/>
      <c r="E29" s="4" t="n"/>
      <c r="F29" s="4" t="n"/>
      <c r="G29" s="4" t="n"/>
      <c r="H29" s="10" t="n"/>
    </row>
    <row r="30">
      <c r="A30" s="23" t="n"/>
      <c r="B30" s="6" t="n"/>
      <c r="C30" s="8" t="n"/>
      <c r="D30" s="8" t="n"/>
      <c r="E30" s="8" t="n"/>
      <c r="F30" s="8" t="n"/>
      <c r="G30" s="8" t="n"/>
      <c r="H30" s="7" t="n"/>
    </row>
    <row r="32">
      <c r="A32" s="25" t="n"/>
      <c r="B32" s="13" t="n"/>
    </row>
    <row r="33">
      <c r="A33" s="25" t="n"/>
      <c r="B33" s="13" t="n"/>
    </row>
  </sheetData>
  <mergeCells count="3">
    <mergeCell ref="A1:H1"/>
    <mergeCell ref="A3:H3"/>
    <mergeCell ref="A17:H17"/>
  </mergeCells>
  <pageMargins left="0.75" right="0.75" top="1" bottom="1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tabColor rgb="FFE65100"/>
    <outlinePr summaryBelow="1" summaryRight="1"/>
    <pageSetUpPr fitToPage="1"/>
  </sheetPr>
  <dimension ref="A1:F23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4" customWidth="1" min="1" max="1"/>
    <col width="28" customWidth="1" min="2" max="2"/>
    <col width="10" customWidth="1" min="3" max="3"/>
    <col width="24" customWidth="1" min="4" max="5"/>
    <col width="14" customWidth="1" min="6" max="6"/>
  </cols>
  <sheetData>
    <row r="1" ht="17.5" customHeight="1">
      <c r="A1" s="33" t="inlineStr">
        <is>
          <t>CORE PROBLEMS — WHAT MUST BE FIXED</t>
        </is>
      </c>
    </row>
    <row r="3" ht="15" customHeight="1">
      <c r="A3" s="34" t="inlineStr">
        <is>
          <t>BEEP APP — Core Problems</t>
        </is>
      </c>
    </row>
    <row r="4">
      <c r="A4" s="1" t="inlineStr">
        <is>
          <t>#</t>
        </is>
      </c>
      <c r="B4" s="1" t="inlineStr">
        <is>
          <t>Problem</t>
        </is>
      </c>
      <c r="C4" s="1" t="inlineStr">
        <is>
          <t>Severity</t>
        </is>
      </c>
      <c r="D4" s="1" t="inlineStr">
        <is>
          <t>Root Cause</t>
        </is>
      </c>
      <c r="E4" s="1" t="inlineStr">
        <is>
          <t>Fix</t>
        </is>
      </c>
      <c r="F4" s="1" t="inlineStr">
        <is>
          <t>Owner</t>
        </is>
      </c>
    </row>
    <row r="5" ht="45" customHeight="1">
      <c r="A5" s="7" t="n">
        <v>1</v>
      </c>
      <c r="B5" s="6" t="inlineStr">
        <is>
          <t>Content format &amp; UX undecided — production blocked</t>
        </is>
      </c>
      <c r="C5" s="8" t="inlineStr">
        <is>
          <t>CRITICAL</t>
        </is>
      </c>
      <c r="D5" s="8" t="inlineStr">
        <is>
          <t>3 options debated but no decision made (Roadmap / COGA / Reels); team brainstorming not deciding</t>
        </is>
      </c>
      <c r="E5" s="8" t="inlineStr">
        <is>
          <t>48hr decision deadline; test with small user set; Yogesh daily product calls</t>
        </is>
      </c>
      <c r="F5" s="8" t="inlineStr">
        <is>
          <t>Yogesh / Dhruva</t>
        </is>
      </c>
    </row>
    <row r="6" ht="45" customHeight="1">
      <c r="A6" s="10" t="n">
        <v>2</v>
      </c>
      <c r="B6" s="2" t="inlineStr">
        <is>
          <t>User journey breaks — students get lost</t>
        </is>
      </c>
      <c r="C6" s="4" t="inlineStr">
        <is>
          <t>HIGH</t>
        </is>
      </c>
      <c r="D6" s="4" t="inlineStr">
        <is>
          <t>No structured flow; videos disconnected; no guided progression through content</t>
        </is>
      </c>
      <c r="E6" s="4" t="inlineStr">
        <is>
          <t>Roadmap-driven flow; allow skip but keep structure; invest in Module 1 quality</t>
        </is>
      </c>
      <c r="F6" s="4" t="inlineStr">
        <is>
          <t>Dhruva</t>
        </is>
      </c>
    </row>
    <row r="7" ht="45" customHeight="1">
      <c r="A7" s="7" t="n">
        <v>3</v>
      </c>
      <c r="B7" s="6" t="inlineStr">
        <is>
          <t>No retention/engagement data</t>
        </is>
      </c>
      <c r="C7" s="8" t="inlineStr">
        <is>
          <t>HIGH</t>
        </is>
      </c>
      <c r="D7" s="8" t="inlineStr">
        <is>
          <t>Mixpanel not implemented; no benchmarks; can't measure what's working</t>
        </is>
      </c>
      <c r="E7" s="8" t="inlineStr">
        <is>
          <t>Sprint: track events, build funnels, retention cohorts; benchmark 50 competitor apps</t>
        </is>
      </c>
      <c r="F7" s="8" t="inlineStr">
        <is>
          <t>Yogesh</t>
        </is>
      </c>
    </row>
    <row r="8" ht="45" customHeight="1">
      <c r="A8" s="10" t="n">
        <v>4</v>
      </c>
      <c r="B8" s="2" t="inlineStr">
        <is>
          <t>Ad CPA spiking — ₹71/signup + ₹696 additional</t>
        </is>
      </c>
      <c r="C8" s="4" t="inlineStr">
        <is>
          <t>HIGH</t>
        </is>
      </c>
      <c r="D8" s="4" t="inlineStr">
        <is>
          <t>Tier 1 targeting failed; no systematic creative testing; trending formats not leveraged</t>
        </is>
      </c>
      <c r="E8" s="4" t="inlineStr">
        <is>
          <t>Research competitors; test UGC, 6767-style; refocus on Tier 2/3</t>
        </is>
      </c>
      <c r="F8" s="4" t="inlineStr">
        <is>
          <t>Muskan / Subagay</t>
        </is>
      </c>
    </row>
    <row r="9" ht="45" customHeight="1">
      <c r="A9" s="7" t="n">
        <v>5</v>
      </c>
      <c r="B9" s="6" t="inlineStr">
        <is>
          <t>Pro Plan conversion inconsistent</t>
        </is>
      </c>
      <c r="C9" s="8" t="inlineStr">
        <is>
          <t>MED</t>
        </is>
      </c>
      <c r="D9" s="8" t="inlineStr">
        <is>
          <t>Trial funnel not optimized; pricing not A/B tested; unclear Pro value prop</t>
        </is>
      </c>
      <c r="E9" s="8" t="inlineStr">
        <is>
          <t>A/B: 3-day ₹9 vs 7-day ₹3; streak vs leaderboard test; Pro sale funnel rework</t>
        </is>
      </c>
      <c r="F9" s="8" t="inlineStr">
        <is>
          <t>Yogesh</t>
        </is>
      </c>
    </row>
    <row r="10" ht="45" customHeight="1">
      <c r="A10" s="10" t="n">
        <v>6</v>
      </c>
      <c r="B10" s="2" t="inlineStr">
        <is>
          <t>Content niche undefined — risk of 'just another motivational app'</t>
        </is>
      </c>
      <c r="C10" s="4" t="inlineStr">
        <is>
          <t>HIGH</t>
        </is>
      </c>
      <c r="D10" s="4" t="inlineStr">
        <is>
          <t>Topics scattered; no content pillars locked; no differentiation strategy</t>
        </is>
      </c>
      <c r="E10" s="4" t="inlineStr">
        <is>
          <t>Lock 5-6 pillars (career clarity, skills, industry, earnings, community); roadmap-aligned</t>
        </is>
      </c>
      <c r="F10" s="4" t="inlineStr">
        <is>
          <t>Karn / Dhruva</t>
        </is>
      </c>
    </row>
    <row r="11" ht="45" customHeight="1">
      <c r="A11" s="7" t="n">
        <v>7</v>
      </c>
      <c r="B11" s="6" t="inlineStr">
        <is>
          <t>Creator/influencer engine not started</t>
        </is>
      </c>
      <c r="C11" s="8" t="inlineStr">
        <is>
          <t>MED</t>
        </is>
      </c>
      <c r="D11" s="8" t="inlineStr">
        <is>
          <t>30-creator target set but no ops, no onboarding, no measurement</t>
        </is>
      </c>
      <c r="E11" s="8" t="inlineStr">
        <is>
          <t>Pilot with 5 creators; build onboarding kit; measure performance</t>
        </is>
      </c>
      <c r="F11" s="8" t="inlineStr">
        <is>
          <t>Karn</t>
        </is>
      </c>
    </row>
    <row r="12" ht="45" customHeight="1">
      <c r="A12" s="10" t="n">
        <v>8</v>
      </c>
      <c r="B12" s="2" t="n"/>
      <c r="C12" s="4" t="n"/>
      <c r="D12" s="4" t="n"/>
      <c r="E12" s="4" t="n"/>
      <c r="F12" s="4" t="n"/>
    </row>
    <row r="14" ht="15" customHeight="1">
      <c r="A14" s="34" t="inlineStr">
        <is>
          <t>BEEP LEARN — Core Problems</t>
        </is>
      </c>
    </row>
    <row r="15">
      <c r="A15" s="1" t="inlineStr">
        <is>
          <t>#</t>
        </is>
      </c>
      <c r="B15" s="1" t="inlineStr">
        <is>
          <t>Problem</t>
        </is>
      </c>
      <c r="C15" s="1" t="inlineStr">
        <is>
          <t>Severity</t>
        </is>
      </c>
      <c r="D15" s="1" t="inlineStr">
        <is>
          <t>Root Cause</t>
        </is>
      </c>
      <c r="E15" s="1" t="inlineStr">
        <is>
          <t>Fix</t>
        </is>
      </c>
      <c r="F15" s="1" t="inlineStr">
        <is>
          <t>Owner</t>
        </is>
      </c>
    </row>
    <row r="16" ht="45" customHeight="1">
      <c r="A16" s="10" t="n">
        <v>1</v>
      </c>
      <c r="B16" s="2" t="inlineStr">
        <is>
          <t>Revenue severely behind: ₹7.26L vs ₹17.6L target by 21st</t>
        </is>
      </c>
      <c r="C16" s="4" t="inlineStr">
        <is>
          <t>CRITICAL</t>
        </is>
      </c>
      <c r="D16" s="4" t="inlineStr">
        <is>
          <t>Low daily cash-in; team not hitting ₹1.5L/day; reliance on month-end push</t>
        </is>
      </c>
      <c r="E16" s="4" t="inlineStr">
        <is>
          <t>₹1.5L/day non-negotiable; daily tracking by 2PM; self-closure pushes</t>
        </is>
      </c>
      <c r="F16" s="4" t="inlineStr">
        <is>
          <t>Siddhesh / Rupali</t>
        </is>
      </c>
    </row>
    <row r="17" ht="45" customHeight="1">
      <c r="A17" s="7" t="n">
        <v>2</v>
      </c>
      <c r="B17" s="6" t="inlineStr">
        <is>
          <t>58% of intent leads lost after mentor sessions</t>
        </is>
      </c>
      <c r="C17" s="8" t="inlineStr">
        <is>
          <t>CRITICAL</t>
        </is>
      </c>
      <c r="D17" s="8" t="inlineStr">
        <is>
          <t>Mentor session quality — NOT NBFC; poor demo-to-close handoff; no immediate follow-up</t>
        </is>
      </c>
      <c r="E17" s="8" t="inlineStr">
        <is>
          <t>Audit mentor sessions; 1-hr follow-up protocol; fix conversion script</t>
        </is>
      </c>
      <c r="F17" s="8" t="inlineStr">
        <is>
          <t>Siddhesh</t>
        </is>
      </c>
    </row>
    <row r="18" ht="45" customHeight="1">
      <c r="A18" s="10" t="n">
        <v>3</v>
      </c>
      <c r="B18" s="2" t="inlineStr">
        <is>
          <t>Half the sales team below 45% achievement</t>
        </is>
      </c>
      <c r="C18" s="4" t="inlineStr">
        <is>
          <t>HIGH</t>
        </is>
      </c>
      <c r="D18" s="4" t="inlineStr">
        <is>
          <t>No individual accountability; unclear daily targets; inconsistent standards</t>
        </is>
      </c>
      <c r="E18" s="4" t="inlineStr">
        <is>
          <t>Individual performance plans; daily targets per person; 2-week PIP</t>
        </is>
      </c>
      <c r="F18" s="4" t="inlineStr">
        <is>
          <t>Rupali</t>
        </is>
      </c>
    </row>
    <row r="19" ht="45" customHeight="1">
      <c r="A19" s="7" t="n">
        <v>4</v>
      </c>
      <c r="B19" s="6" t="inlineStr">
        <is>
          <t>Net margin still negative (-4%)</t>
        </is>
      </c>
      <c r="C19" s="8" t="inlineStr">
        <is>
          <t>HIGH</t>
        </is>
      </c>
      <c r="D19" s="8" t="inlineStr">
        <is>
          <t>Direct costs high; ad spend ₹3.3L not yielding proportional returns; ₹30L salary base</t>
        </is>
      </c>
      <c r="E19" s="8" t="inlineStr">
        <is>
          <t>Break-even by March; cost audit; increase referral % to lower CAC</t>
        </is>
      </c>
      <c r="F19" s="8" t="inlineStr">
        <is>
          <t>Rupali</t>
        </is>
      </c>
    </row>
    <row r="20" ht="45" customHeight="1">
      <c r="A20" s="10" t="n">
        <v>5</v>
      </c>
      <c r="B20" s="2" t="inlineStr">
        <is>
          <t>28% dropout rate (16 of 57 admissions)</t>
        </is>
      </c>
      <c r="C20" s="4" t="inlineStr">
        <is>
          <t>HIGH</t>
        </is>
      </c>
      <c r="D20" s="4" t="inlineStr">
        <is>
          <t>Post-enrollment buyer's remorse; quality issues; mentor gaps; communication gaps</t>
        </is>
      </c>
      <c r="E20" s="4" t="inlineStr">
        <is>
          <t>Day-7 Save Kit; better onboarding; proactive check-ins; quality docs</t>
        </is>
      </c>
      <c r="F20" s="4" t="inlineStr">
        <is>
          <t>Siddhesh</t>
        </is>
      </c>
    </row>
    <row r="21" ht="45" customHeight="1">
      <c r="A21" s="7" t="n">
        <v>6</v>
      </c>
      <c r="B21" s="6" t="inlineStr">
        <is>
          <t>Referral program never launched despite weeks of discussion</t>
        </is>
      </c>
      <c r="C21" s="8" t="inlineStr">
        <is>
          <t>HIGH</t>
        </is>
      </c>
      <c r="D21" s="8" t="inlineStr">
        <is>
          <t>Talked about every week; no structure; no incentives; no launch date</t>
        </is>
      </c>
      <c r="E21" s="8" t="inlineStr">
        <is>
          <t>Build incentive structure; launch Wednesday — NO MORE DELAYS</t>
        </is>
      </c>
      <c r="F21" s="8" t="inlineStr">
        <is>
          <t>Siddhesh</t>
        </is>
      </c>
    </row>
    <row r="22" ht="45" customHeight="1">
      <c r="A22" s="10" t="n">
        <v>7</v>
      </c>
      <c r="B22" s="2" t="inlineStr">
        <is>
          <t>Ad ROI declining — spend up, admissions not proportional</t>
        </is>
      </c>
      <c r="C22" s="4" t="inlineStr">
        <is>
          <t>MED</t>
        </is>
      </c>
      <c r="D22" s="4" t="inlineStr">
        <is>
          <t>₹3.3L spent; form submissions low; retargeting not optimized</t>
        </is>
      </c>
      <c r="E22" s="4" t="inlineStr">
        <is>
          <t>New formats; WhatsApp retargeting; Google My Business; website funnel fixes</t>
        </is>
      </c>
      <c r="F22" s="4" t="inlineStr">
        <is>
          <t>Sandeep</t>
        </is>
      </c>
    </row>
    <row r="23" ht="45" customHeight="1">
      <c r="A23" s="7" t="n">
        <v>8</v>
      </c>
      <c r="B23" s="6" t="inlineStr">
        <is>
          <t>Team confidence / internal clarity gap</t>
        </is>
      </c>
      <c r="C23" s="8" t="inlineStr">
        <is>
          <t>MED</t>
        </is>
      </c>
      <c r="D23" s="8" t="inlineStr">
        <is>
          <t>People unsure if targets are achievable; no shared conviction; morale soft</t>
        </is>
      </c>
      <c r="E23" s="8" t="inlineStr">
        <is>
          <t>Transparent targets; daily wins celebration; Rupali more involved daily</t>
        </is>
      </c>
      <c r="F23" s="8" t="inlineStr">
        <is>
          <t>Rupali</t>
        </is>
      </c>
    </row>
  </sheetData>
  <mergeCells count="3">
    <mergeCell ref="A3:F3"/>
    <mergeCell ref="A14:F14"/>
    <mergeCell ref="A1:F1"/>
  </mergeCells>
  <pageMargins left="0.75" right="0.75" top="1" bottom="1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E36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4" customWidth="1" min="1" max="1"/>
    <col width="24" customWidth="1" min="2" max="2"/>
    <col width="30" customWidth="1" min="3" max="3"/>
    <col width="20" customWidth="1" min="4" max="4"/>
    <col width="24" customWidth="1" min="5" max="5"/>
  </cols>
  <sheetData>
    <row r="1" ht="17.5" customHeight="1">
      <c r="A1" s="33" t="inlineStr">
        <is>
          <t>FOUNDER'S OFFICE — ROLE, VISION &amp; BEEP WEEKLY FORMAT</t>
        </is>
      </c>
    </row>
    <row r="3" ht="15" customHeight="1">
      <c r="A3" s="34" t="inlineStr">
        <is>
          <t>FOUNDER'S OFFICE — What She Owns</t>
        </is>
      </c>
    </row>
    <row r="4">
      <c r="A4" s="1" t="inlineStr">
        <is>
          <t>#</t>
        </is>
      </c>
      <c r="B4" s="1" t="inlineStr">
        <is>
          <t>Responsibility</t>
        </is>
      </c>
      <c r="C4" s="1" t="inlineStr">
        <is>
          <t>What It Means (Simply)</t>
        </is>
      </c>
      <c r="D4" s="1" t="inlineStr">
        <is>
          <t>Weekly Output</t>
        </is>
      </c>
      <c r="E4" s="1" t="inlineStr">
        <is>
          <t xml:space="preserve">Success = </t>
        </is>
      </c>
    </row>
    <row r="5" ht="39.75" customHeight="1">
      <c r="A5" s="7" t="n">
        <v>1</v>
      </c>
      <c r="B5" s="6" t="inlineStr">
        <is>
          <t>This Tracker (Single Source of Truth)</t>
        </is>
      </c>
      <c r="C5" s="8" t="inlineStr">
        <is>
          <t>Update every Thursday; circulate Friday AM; flag reds on Slack immediately</t>
        </is>
      </c>
      <c r="D5" s="8" t="inlineStr">
        <is>
          <t>Updated tracker + 3-line Slack summary</t>
        </is>
      </c>
      <c r="E5" s="8" t="inlineStr">
        <is>
          <t>No metric surprise at Monday sync</t>
        </is>
      </c>
    </row>
    <row r="6" ht="39.75" customHeight="1">
      <c r="A6" s="10" t="n">
        <v>2</v>
      </c>
      <c r="B6" s="2" t="inlineStr">
        <is>
          <t>Daily Learn Revenue Discipline</t>
        </is>
      </c>
      <c r="C6" s="4" t="inlineStr">
        <is>
          <t>Check ₹1.5L/day by 2PM with Siddhesh; escalate to Rupali if behind</t>
        </is>
      </c>
      <c r="D6" s="4" t="inlineStr">
        <is>
          <t>Daily cash-in confirmed or escalated</t>
        </is>
      </c>
      <c r="E6" s="4" t="inlineStr">
        <is>
          <t>Learn hits monthly revenue target</t>
        </is>
      </c>
    </row>
    <row r="7" ht="39.75" customHeight="1">
      <c r="A7" s="7" t="n">
        <v>3</v>
      </c>
      <c r="B7" s="6" t="inlineStr">
        <is>
          <t>Unblock Beep App Decisions</t>
        </is>
      </c>
      <c r="C7" s="8" t="inlineStr">
        <is>
          <t>Facilitate, don't debate; set 48hr deadlines; ensure Yogesh/Dhruva decide</t>
        </is>
      </c>
      <c r="D7" s="8" t="inlineStr">
        <is>
          <t>Key decisions documented + shipped</t>
        </is>
      </c>
      <c r="E7" s="8" t="inlineStr">
        <is>
          <t>App team shipping, not meeting</t>
        </is>
      </c>
    </row>
    <row r="8" ht="39.75" customHeight="1">
      <c r="A8" s="10" t="n">
        <v>4</v>
      </c>
      <c r="B8" s="2" t="inlineStr">
        <is>
          <t>Founder Sync Prep</t>
        </is>
      </c>
      <c r="C8" s="4" t="inlineStr">
        <is>
          <t>Prepare pre-read by Sunday night using this tracker; run Monday sync</t>
        </is>
      </c>
      <c r="D8" s="4" t="inlineStr">
        <is>
          <t>Agenda + pre-read circulated Sunday PM</t>
        </is>
      </c>
      <c r="E8" s="4" t="inlineStr">
        <is>
          <t>60-min sync = 5+ decisions made</t>
        </is>
      </c>
    </row>
    <row r="9" ht="39.75" customHeight="1">
      <c r="A9" s="7" t="n">
        <v>5</v>
      </c>
      <c r="B9" s="6" t="inlineStr">
        <is>
          <t>Fundraise Support</t>
        </is>
      </c>
      <c r="C9" s="8" t="inlineStr">
        <is>
          <t>Data room updated weekly; investor update prepped for Saurabh</t>
        </is>
      </c>
      <c r="D9" s="8" t="inlineStr">
        <is>
          <t>Data room current; 1 update email drafted</t>
        </is>
      </c>
      <c r="E9" s="8" t="inlineStr">
        <is>
          <t>Bridge round closes on schedule</t>
        </is>
      </c>
    </row>
    <row r="10" ht="39.75" customHeight="1">
      <c r="A10" s="10" t="n">
        <v>6</v>
      </c>
      <c r="B10" s="2" t="inlineStr">
        <is>
          <t>Frozen Verticals Health Check</t>
        </is>
      </c>
      <c r="C10" s="4" t="inlineStr">
        <is>
          <t>30-min weekly with Aniket (UniBeep) &amp; Rakhi (BeepHire); fill pulse row</t>
        </is>
      </c>
      <c r="D10" s="4" t="inlineStr">
        <is>
          <t>Pulse filled in Sheet 1; red flags escalated</t>
        </is>
      </c>
      <c r="E10" s="4" t="inlineStr">
        <is>
          <t>No silent degradation</t>
        </is>
      </c>
    </row>
    <row r="11" ht="39.75" customHeight="1">
      <c r="A11" s="7" t="n">
        <v>7</v>
      </c>
      <c r="B11" s="6" t="inlineStr">
        <is>
          <t>Action Item Follow-Through</t>
        </is>
      </c>
      <c r="C11" s="8" t="inlineStr">
        <is>
          <t>Every action from Monday sync tracked; chase owners; report closure rate</t>
        </is>
      </c>
      <c r="D11" s="8" t="inlineStr">
        <is>
          <t>≥80% actions closed by next Monday</t>
        </is>
      </c>
      <c r="E11" s="8" t="inlineStr">
        <is>
          <t>Accountability is real, not a slide</t>
        </is>
      </c>
    </row>
    <row r="12" ht="39.75" customHeight="1">
      <c r="A12" s="10" t="n">
        <v>8</v>
      </c>
      <c r="B12" s="2" t="inlineStr">
        <is>
          <t>Culture &amp; Comms Pulse</t>
        </is>
      </c>
      <c r="C12" s="4" t="inlineStr">
        <is>
          <t>Monthly AMA; team morale check; post-mortems within 48hrs of failures</t>
        </is>
      </c>
      <c r="D12" s="4" t="inlineStr">
        <is>
          <t>Monthly pulse check; issues flagged early</t>
        </is>
      </c>
      <c r="E12" s="4" t="inlineStr">
        <is>
          <t>No key-person attrition surprises</t>
        </is>
      </c>
    </row>
    <row r="14" ht="15" customHeight="1">
      <c r="A14" s="34" t="inlineStr">
        <is>
          <t>FO'S OWN ACTIONS THIS WEEK</t>
        </is>
      </c>
    </row>
    <row r="15">
      <c r="A15" s="1" t="inlineStr">
        <is>
          <t>#</t>
        </is>
      </c>
      <c r="B15" s="1" t="inlineStr">
        <is>
          <t>Initiative</t>
        </is>
      </c>
      <c r="C15" s="1" t="inlineStr">
        <is>
          <t>Why</t>
        </is>
      </c>
      <c r="D15" s="1" t="inlineStr">
        <is>
          <t>By When</t>
        </is>
      </c>
      <c r="E15" s="1" t="inlineStr">
        <is>
          <t>Done?</t>
        </is>
      </c>
    </row>
    <row r="16" ht="28" customHeight="1">
      <c r="A16" s="10" t="n">
        <v>1</v>
      </c>
      <c r="B16" s="2" t="inlineStr">
        <is>
          <t>Update this tracker with latest numbers</t>
        </is>
      </c>
      <c r="C16" s="4" t="inlineStr">
        <is>
          <t>Founders need current data for Monday sync</t>
        </is>
      </c>
      <c r="D16" s="4" t="inlineStr">
        <is>
          <t>Thursday</t>
        </is>
      </c>
      <c r="E16" s="4" t="n"/>
    </row>
    <row r="17" ht="28" customHeight="1">
      <c r="A17" s="7" t="n">
        <v>2</v>
      </c>
      <c r="B17" s="6" t="inlineStr">
        <is>
          <t>Check Learn daily cash-in with Siddhesh (daily 2PM)</t>
        </is>
      </c>
      <c r="C17" s="8" t="inlineStr">
        <is>
          <t>Revenue is existential; daily tracking prevents month-end panic</t>
        </is>
      </c>
      <c r="D17" s="8" t="inlineStr">
        <is>
          <t>Daily</t>
        </is>
      </c>
      <c r="E17" s="8" t="n"/>
    </row>
    <row r="18" ht="28" customHeight="1">
      <c r="A18" s="10" t="n">
        <v>3</v>
      </c>
      <c r="B18" s="2" t="inlineStr">
        <is>
          <t>Push content format decision to closure (App)</t>
        </is>
      </c>
      <c r="C18" s="4" t="inlineStr">
        <is>
          <t>Every day of indecision = lost users; blocked production</t>
        </is>
      </c>
      <c r="D18" s="4" t="inlineStr">
        <is>
          <t>Wednesday</t>
        </is>
      </c>
      <c r="E18" s="4" t="n"/>
    </row>
    <row r="19" ht="28" customHeight="1">
      <c r="A19" s="7" t="n">
        <v>4</v>
      </c>
      <c r="B19" s="6" t="inlineStr">
        <is>
          <t>Ensure referral program launches (Learn)</t>
        </is>
      </c>
      <c r="C19" s="8" t="inlineStr">
        <is>
          <t>Lowest-CAC channel; weeks delayed already</t>
        </is>
      </c>
      <c r="D19" s="8" t="inlineStr">
        <is>
          <t>Wednesday</t>
        </is>
      </c>
      <c r="E19" s="8" t="n"/>
    </row>
    <row r="20" ht="28" customHeight="1">
      <c r="A20" s="10" t="n">
        <v>5</v>
      </c>
      <c r="B20" s="2" t="inlineStr">
        <is>
          <t>Compile 50-app competitive research (App)</t>
        </is>
      </c>
      <c r="C20" s="4" t="inlineStr">
        <is>
          <t>Team needs data for format/content decisions</t>
        </is>
      </c>
      <c r="D20" s="4" t="inlineStr">
        <is>
          <t>Friday</t>
        </is>
      </c>
      <c r="E20" s="4" t="n"/>
    </row>
    <row r="21" ht="28" customHeight="1">
      <c r="A21" s="7" t="n">
        <v>6</v>
      </c>
      <c r="B21" s="6" t="inlineStr">
        <is>
          <t>Prep Monday founder sync agenda + pre-read</t>
        </is>
      </c>
      <c r="C21" s="8" t="inlineStr">
        <is>
          <t>Structured sync = decisions, not status updates</t>
        </is>
      </c>
      <c r="D21" s="8" t="inlineStr">
        <is>
          <t>Sunday PM</t>
        </is>
      </c>
      <c r="E21" s="8" t="n"/>
    </row>
    <row r="22" ht="42" customHeight="1">
      <c r="A22" s="10" t="n">
        <v>7</v>
      </c>
      <c r="B22" s="2" t="inlineStr">
        <is>
          <t>30-min check-in: Aniket (UniBeep) + Rakhi (BeepHire)</t>
        </is>
      </c>
      <c r="C22" s="4" t="inlineStr">
        <is>
          <t>Confirm self-running; catch red flags</t>
        </is>
      </c>
      <c r="D22" s="4" t="inlineStr">
        <is>
          <t>This week</t>
        </is>
      </c>
      <c r="E22" s="4" t="n"/>
    </row>
    <row r="23" ht="28" customHeight="1">
      <c r="A23" s="7" t="n">
        <v>8</v>
      </c>
      <c r="B23" s="6" t="inlineStr">
        <is>
          <t>Update fundraise data room for Saurabh</t>
        </is>
      </c>
      <c r="C23" s="8" t="inlineStr">
        <is>
          <t>Bridge round urgency — data must be current</t>
        </is>
      </c>
      <c r="D23" s="8" t="inlineStr">
        <is>
          <t>Friday</t>
        </is>
      </c>
      <c r="E23" s="8" t="n"/>
    </row>
    <row r="25">
      <c r="B25" s="13">
        <f>COUNTIF(E17:E24,"Yes")&amp;" of 8 done"</f>
        <v/>
      </c>
    </row>
    <row r="27" ht="15" customHeight="1">
      <c r="A27" s="34" t="inlineStr">
        <is>
          <t>BEEP WEEKLY — Monday Founder Sync (60 min)</t>
        </is>
      </c>
    </row>
    <row r="28">
      <c r="A28" s="1" t="inlineStr">
        <is>
          <t>#</t>
        </is>
      </c>
      <c r="B28" s="1" t="inlineStr">
        <is>
          <t>Section</t>
        </is>
      </c>
      <c r="C28" s="1" t="inlineStr">
        <is>
          <t>Time</t>
        </is>
      </c>
      <c r="D28" s="1" t="inlineStr">
        <is>
          <t>Content</t>
        </is>
      </c>
      <c r="E28" s="1" t="inlineStr">
        <is>
          <t>Decision Needed?</t>
        </is>
      </c>
    </row>
    <row r="29" ht="54.75" customHeight="1">
      <c r="A29" s="7" t="n">
        <v>1</v>
      </c>
      <c r="B29" s="6" t="inlineStr">
        <is>
          <t>Reality Check: Key Metrics</t>
        </is>
      </c>
      <c r="C29" s="8" t="inlineStr">
        <is>
          <t>10 min</t>
        </is>
      </c>
      <c r="D29" s="8" t="inlineStr">
        <is>
          <t>Learn: cash-in, admissions, conversion, margin
App: DAU, signups, Pro MRR, CPA, retention
Company: total revenue, burn, runway</t>
        </is>
      </c>
      <c r="E29" s="8" t="inlineStr">
        <is>
          <t>Flag anything ≥15% off target</t>
        </is>
      </c>
    </row>
    <row r="30" ht="54.75" customHeight="1">
      <c r="A30" s="10" t="n">
        <v>2</v>
      </c>
      <c r="B30" s="2" t="inlineStr">
        <is>
          <t>WoW Trends</t>
        </is>
      </c>
      <c r="C30" s="4" t="inlineStr">
        <is>
          <t>5 min</t>
        </is>
      </c>
      <c r="D30" s="4" t="inlineStr">
        <is>
          <t>Are metrics improving week-on-week?
Will we hit month-end at this pace?</t>
        </is>
      </c>
      <c r="E30" s="4" t="inlineStr">
        <is>
          <t>Course correct if trajectory off</t>
        </is>
      </c>
    </row>
    <row r="31" ht="54.75" customHeight="1">
      <c r="A31" s="7" t="n">
        <v>3</v>
      </c>
      <c r="B31" s="6" t="inlineStr">
        <is>
          <t>Beep App Deep Dive</t>
        </is>
      </c>
      <c r="C31" s="8" t="inlineStr">
        <is>
          <t>10 min</t>
        </is>
      </c>
      <c r="D31" s="8" t="inlineStr">
        <is>
          <t>Top blocker + experiment results + content progress
Action items from last week — done or not?</t>
        </is>
      </c>
      <c r="E31" s="8" t="inlineStr">
        <is>
          <t>1-2 decisions from founders</t>
        </is>
      </c>
    </row>
    <row r="32" ht="54.75" customHeight="1">
      <c r="A32" s="10" t="n">
        <v>4</v>
      </c>
      <c r="B32" s="2" t="inlineStr">
        <is>
          <t>Beep Learn Deep Dive</t>
        </is>
      </c>
      <c r="C32" s="4" t="inlineStr">
        <is>
          <t>10 min</t>
        </is>
      </c>
      <c r="D32" s="4" t="inlineStr">
        <is>
          <t>Revenue pace vs daily target + funnel + team performance
Action items from last week — done or not?</t>
        </is>
      </c>
      <c r="E32" s="4" t="inlineStr">
        <is>
          <t>1-2 decisions from founders</t>
        </is>
      </c>
    </row>
    <row r="33" ht="54.75" customHeight="1">
      <c r="A33" s="7" t="n">
        <v>5</v>
      </c>
      <c r="B33" s="6" t="inlineStr">
        <is>
          <t>UniBeep &amp; BeepHire Pulse</t>
        </is>
      </c>
      <c r="C33" s="8" t="inlineStr">
        <is>
          <t>5 min</t>
        </is>
      </c>
      <c r="D33" s="8" t="inlineStr">
        <is>
          <t>Quick: any red flags? (from frozen tracker)
Only discuss if red flag exists</t>
        </is>
      </c>
      <c r="E33" s="8" t="inlineStr">
        <is>
          <t>Only if red flags</t>
        </is>
      </c>
    </row>
    <row r="34" ht="54.75" customHeight="1">
      <c r="A34" s="10" t="n">
        <v>6</v>
      </c>
      <c r="B34" s="2" t="inlineStr">
        <is>
          <t>Vision &amp; Direction Check</t>
        </is>
      </c>
      <c r="C34" s="4" t="inlineStr">
        <is>
          <t>10 min</t>
        </is>
      </c>
      <c r="D34" s="4" t="inlineStr">
        <is>
          <t>Thesis check: are we building Career OS or drifting?
Fundraise update + hiring gaps
Any strategic pivots needed?</t>
        </is>
      </c>
      <c r="E34" s="4" t="inlineStr">
        <is>
          <t>Strategic decisions</t>
        </is>
      </c>
    </row>
    <row r="35" ht="54.75" customHeight="1">
      <c r="A35" s="7" t="n">
        <v>7</v>
      </c>
      <c r="B35" s="6" t="inlineStr">
        <is>
          <t>Top 3 Critical Problems</t>
        </is>
      </c>
      <c r="C35" s="8" t="inlineStr">
        <is>
          <t>5 min</t>
        </is>
      </c>
      <c r="D35" s="8" t="inlineStr">
        <is>
          <t>What could break us if not fixed?
What changed since last week?</t>
        </is>
      </c>
      <c r="E35" s="8" t="inlineStr">
        <is>
          <t>Assign owners + deadlines</t>
        </is>
      </c>
    </row>
    <row r="36" ht="54.75" customHeight="1">
      <c r="A36" s="10" t="n">
        <v>8</v>
      </c>
      <c r="B36" s="2" t="inlineStr">
        <is>
          <t>Decision Log &amp; Actions</t>
        </is>
      </c>
      <c r="C36" s="4" t="inlineStr">
        <is>
          <t>5 min</t>
        </is>
      </c>
      <c r="D36" s="4" t="inlineStr">
        <is>
          <t>Document every decision; assign actions; read back</t>
        </is>
      </c>
      <c r="E36" s="4" t="inlineStr">
        <is>
          <t>Confirm all decisions</t>
        </is>
      </c>
    </row>
  </sheetData>
  <mergeCells count="4">
    <mergeCell ref="A3:E3"/>
    <mergeCell ref="A1:E1"/>
    <mergeCell ref="A27:E27"/>
    <mergeCell ref="A14:E14"/>
  </mergeCells>
  <pageMargins left="0.75" right="0.75" top="1" bottom="1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tabColor rgb="FFE65100"/>
    <outlinePr summaryBelow="1" summaryRight="1"/>
    <pageSetUpPr fitToPage="1"/>
  </sheetPr>
  <dimension ref="A1:F30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4" customWidth="1" min="1" max="1"/>
    <col width="22" customWidth="1" min="2" max="2"/>
    <col width="24" customWidth="1" min="3" max="4"/>
    <col width="10" customWidth="1" min="5" max="5"/>
    <col width="24" customWidth="1" min="6" max="6"/>
  </cols>
  <sheetData>
    <row r="1" ht="17.5" customHeight="1">
      <c r="A1" s="33" t="inlineStr">
        <is>
          <t>ARE WE GOING IN THE RIGHT DIRECTION?</t>
        </is>
      </c>
    </row>
    <row r="3" ht="15" customHeight="1">
      <c r="A3" s="34" t="inlineStr">
        <is>
          <t>THESIS CHECK (Update Monthly)</t>
        </is>
      </c>
    </row>
    <row r="4">
      <c r="A4" s="1" t="inlineStr">
        <is>
          <t>#</t>
        </is>
      </c>
      <c r="B4" s="1" t="inlineStr">
        <is>
          <t>Our Thesis</t>
        </is>
      </c>
      <c r="C4" s="1" t="inlineStr">
        <is>
          <t>What We Said</t>
        </is>
      </c>
      <c r="D4" s="1" t="inlineStr">
        <is>
          <t>Reality Right Now</t>
        </is>
      </c>
      <c r="E4" s="1" t="inlineStr">
        <is>
          <t>On Track?</t>
        </is>
      </c>
      <c r="F4" s="1" t="inlineStr">
        <is>
          <t>Course Correction</t>
        </is>
      </c>
    </row>
    <row r="5" ht="49.5" customHeight="1">
      <c r="A5" s="7" t="n">
        <v>1</v>
      </c>
      <c r="B5" s="6" t="inlineStr">
        <is>
          <t>Career OS for Tier 2/3</t>
        </is>
      </c>
      <c r="C5" s="8" t="inlineStr">
        <is>
          <t>AI career platform replacing Tier 1 ecosystem for masses</t>
        </is>
      </c>
      <c r="D5" s="8" t="inlineStr">
        <is>
          <t>App exists but UX broken; content not shipping; no differentiation yet</t>
        </is>
      </c>
      <c r="E5" s="8" t="inlineStr">
        <is>
          <t>🟡</t>
        </is>
      </c>
      <c r="F5" s="8" t="inlineStr">
        <is>
          <t>Finalize format THIS WEEK; roadmap = core product; ship outcomes</t>
        </is>
      </c>
    </row>
    <row r="6" ht="49.5" customHeight="1">
      <c r="A6" s="10" t="n">
        <v>2</v>
      </c>
      <c r="B6" s="2" t="inlineStr">
        <is>
          <t>Learn = Cash Engine</t>
        </is>
      </c>
      <c r="C6" s="4" t="inlineStr">
        <is>
          <t>Beep Learn funds the rest; largest revenue vertical</t>
        </is>
      </c>
      <c r="D6" s="4" t="inlineStr">
        <is>
          <t>Largest vertical but behind targets; -4% margin; high dropout</t>
        </is>
      </c>
      <c r="E6" s="4" t="inlineStr">
        <is>
          <t>🟡</t>
        </is>
      </c>
      <c r="F6" s="4" t="inlineStr">
        <is>
          <t>Break-even March; fix mentor funnel; launch referrals; daily discipline</t>
        </is>
      </c>
    </row>
    <row r="7" ht="49.5" customHeight="1">
      <c r="A7" s="7" t="n">
        <v>3</v>
      </c>
      <c r="B7" s="6" t="inlineStr">
        <is>
          <t>Multi-Sided Network</t>
        </is>
      </c>
      <c r="C7" s="8" t="inlineStr">
        <is>
          <t>Students + recruiters + colleges reinforce each other</t>
        </is>
      </c>
      <c r="D7" s="8" t="inlineStr">
        <is>
          <t>Verticals in silos; UniBeep &amp; BeepHire frozen; no synergy active</t>
        </is>
      </c>
      <c r="E7" s="8" t="inlineStr">
        <is>
          <t>🔴</t>
        </is>
      </c>
      <c r="F7" s="8" t="inlineStr">
        <is>
          <t>Accept frozen for now; plan Q2 re-integration</t>
        </is>
      </c>
    </row>
    <row r="8" ht="49.5" customHeight="1">
      <c r="A8" s="10" t="n">
        <v>4</v>
      </c>
      <c r="B8" s="2" t="inlineStr">
        <is>
          <t>Outcome-Driven (Placements)</t>
        </is>
      </c>
      <c r="C8" s="4" t="inlineStr">
        <is>
          <t>Revenue tied to actual outcomes; 5,000 placements FY26</t>
        </is>
      </c>
      <c r="D8" s="4" t="inlineStr">
        <is>
          <t>550 FY25; tracking weak; placement proof system doesn't exist</t>
        </is>
      </c>
      <c r="E8" s="4" t="inlineStr">
        <is>
          <t>🟡</t>
        </is>
      </c>
      <c r="F8" s="4" t="inlineStr">
        <is>
          <t>Build student ID tracking; placement proof; count only measurable</t>
        </is>
      </c>
    </row>
    <row r="9" ht="49.5" customHeight="1">
      <c r="A9" s="7" t="n">
        <v>5</v>
      </c>
      <c r="B9" s="6" t="inlineStr">
        <is>
          <t>Data Flywheel + AI Edge</t>
        </is>
      </c>
      <c r="C9" s="8" t="inlineStr">
        <is>
          <t>4M profiles; signal-driven AI matching</t>
        </is>
      </c>
      <c r="D9" s="8" t="inlineStr">
        <is>
          <t>Mixpanel not implemented; AI scoring errors; data plumbing broken</t>
        </is>
      </c>
      <c r="E9" s="8" t="inlineStr">
        <is>
          <t>🔴</t>
        </is>
      </c>
      <c r="F9" s="8" t="inlineStr">
        <is>
          <t>Mixpanel sprint; fix AI quality; BigQuery pipeline</t>
        </is>
      </c>
    </row>
    <row r="10" ht="49.5" customHeight="1">
      <c r="A10" s="10" t="n">
        <v>6</v>
      </c>
      <c r="B10" s="2" t="inlineStr">
        <is>
          <t>Capital Efficient</t>
        </is>
      </c>
      <c r="C10" s="4" t="inlineStr">
        <is>
          <t>Burn ≤₹45L; bridge + seed to extend runway</t>
        </is>
      </c>
      <c r="D10" s="4" t="inlineStr">
        <is>
          <t>Salary ₹30L alone; total burn ~₹40-50L; bridge ₹1.2Cr critical</t>
        </is>
      </c>
      <c r="E10" s="4" t="inlineStr">
        <is>
          <t>🟡</t>
        </is>
      </c>
      <c r="F10" s="4" t="inlineStr">
        <is>
          <t>Cost cuts; Learn break-even; fundraise with urgency</t>
        </is>
      </c>
    </row>
    <row r="11" ht="49.5" customHeight="1">
      <c r="A11" s="7" t="n">
        <v>7</v>
      </c>
      <c r="B11" s="6" t="inlineStr">
        <is>
          <t>5,000 Placed FY26</t>
        </is>
      </c>
      <c r="C11" s="8" t="inlineStr">
        <is>
          <t>Measurable impact across verticals</t>
        </is>
      </c>
      <c r="D11" s="8" t="inlineStr">
        <is>
          <t>Too early; infrastructure for tracking doesn't exist yet</t>
        </is>
      </c>
      <c r="E11" s="8" t="inlineStr">
        <is>
          <t>🟡</t>
        </is>
      </c>
      <c r="F11" s="8" t="inlineStr">
        <is>
          <t>Build tracking now; set Q1/Q2 intermediate milestones</t>
        </is>
      </c>
    </row>
    <row r="13" ht="15" customHeight="1">
      <c r="A13" s="34" t="inlineStr">
        <is>
          <t>TOP 5 MOST CRITICAL PROBLEMS (Updated Weekly)</t>
        </is>
      </c>
    </row>
    <row r="14" ht="42" customHeight="1">
      <c r="A14" s="1" t="inlineStr">
        <is>
          <t>Rank</t>
        </is>
      </c>
      <c r="B14" s="1" t="inlineStr">
        <is>
          <t>Problem</t>
        </is>
      </c>
      <c r="C14" s="1" t="inlineStr">
        <is>
          <t>Why It's Critical</t>
        </is>
      </c>
      <c r="D14" s="1" t="inlineStr">
        <is>
          <t>Owner</t>
        </is>
      </c>
      <c r="E14" s="1" t="inlineStr">
        <is>
          <t>What We're Doing</t>
        </is>
      </c>
      <c r="F14" s="1" t="inlineStr">
        <is>
          <t>Deadline</t>
        </is>
      </c>
    </row>
    <row r="15" ht="45" customHeight="1">
      <c r="A15" s="7" t="inlineStr">
        <is>
          <t>#1</t>
        </is>
      </c>
      <c r="B15" s="6" t="inlineStr">
        <is>
          <t>Cash crunch — Learn behind + high burn</t>
        </is>
      </c>
      <c r="C15" s="8" t="inlineStr">
        <is>
          <t>₹30L salary; Learn at ₹7.26L vs ₹17.6L; March must show positive</t>
        </is>
      </c>
      <c r="D15" s="8" t="inlineStr">
        <is>
          <t>Saurabh + Rupali</t>
        </is>
      </c>
      <c r="E15" s="8" t="inlineStr">
        <is>
          <t>₹1.5L/day; cost audit; bridge acceleration</t>
        </is>
      </c>
      <c r="F15" s="8" t="inlineStr">
        <is>
          <t>March end</t>
        </is>
      </c>
    </row>
    <row r="16" ht="45" customHeight="1">
      <c r="A16" s="10" t="inlineStr">
        <is>
          <t>#2</t>
        </is>
      </c>
      <c r="B16" s="2" t="inlineStr">
        <is>
          <t>App content/UX indecision</t>
        </is>
      </c>
      <c r="C16" s="4" t="inlineStr">
        <is>
          <t>Every day without decision = lost users + wasted team time</t>
        </is>
      </c>
      <c r="D16" s="4" t="inlineStr">
        <is>
          <t>Yogesh + Dhruva</t>
        </is>
      </c>
      <c r="E16" s="4" t="inlineStr">
        <is>
          <t>Decide this week; daily calls; test not debate</t>
        </is>
      </c>
      <c r="F16" s="4" t="inlineStr">
        <is>
          <t>This week</t>
        </is>
      </c>
    </row>
    <row r="17" ht="45" customHeight="1">
      <c r="A17" s="7" t="inlineStr">
        <is>
          <t>#3</t>
        </is>
      </c>
      <c r="B17" s="6" t="inlineStr">
        <is>
          <t>Learn team underperformance</t>
        </is>
      </c>
      <c r="C17" s="8" t="inlineStr">
        <is>
          <t>50% below 45%; targets structurally impossible if half team drags</t>
        </is>
      </c>
      <c r="D17" s="8" t="inlineStr">
        <is>
          <t>Rupali</t>
        </is>
      </c>
      <c r="E17" s="8" t="inlineStr">
        <is>
          <t>Individual plans; daily accountability; PIP in 2wks</t>
        </is>
      </c>
      <c r="F17" s="8" t="inlineStr">
        <is>
          <t>2 weeks</t>
        </is>
      </c>
    </row>
    <row r="18" ht="45" customHeight="1">
      <c r="A18" s="10" t="inlineStr">
        <is>
          <t>#4</t>
        </is>
      </c>
      <c r="B18" s="2" t="inlineStr">
        <is>
          <t>Bridge round not closed</t>
        </is>
      </c>
      <c r="C18" s="4" t="inlineStr">
        <is>
          <t>Runway depends on ₹1.2Cr; delay = less negotiating power</t>
        </is>
      </c>
      <c r="D18" s="4" t="inlineStr">
        <is>
          <t>Saurabh</t>
        </is>
      </c>
      <c r="E18" s="4" t="inlineStr">
        <is>
          <t>Data room live; weekly outreach; advisory leverage</t>
        </is>
      </c>
      <c r="F18" s="4" t="inlineStr">
        <is>
          <t>April</t>
        </is>
      </c>
    </row>
    <row r="19" ht="45" customHeight="1">
      <c r="A19" s="7" t="inlineStr">
        <is>
          <t>#5</t>
        </is>
      </c>
      <c r="B19" s="6" t="inlineStr">
        <is>
          <t>No data infrastructure</t>
        </is>
      </c>
      <c r="C19" s="8" t="inlineStr">
        <is>
          <t>Can't measure retention; decisions on gut not data</t>
        </is>
      </c>
      <c r="D19" s="8" t="inlineStr">
        <is>
          <t>Yogesh</t>
        </is>
      </c>
      <c r="E19" s="8" t="inlineStr">
        <is>
          <t>Mixpanel sprint; events + funnels + cohorts</t>
        </is>
      </c>
      <c r="F19" s="8" t="inlineStr">
        <is>
          <t>3 weeks</t>
        </is>
      </c>
    </row>
    <row r="21" ht="15" customHeight="1">
      <c r="A21" s="34" t="inlineStr">
        <is>
          <t>COMPANY GOALS THIS MONTH</t>
        </is>
      </c>
    </row>
    <row r="22">
      <c r="A22" s="1" t="inlineStr">
        <is>
          <t>#</t>
        </is>
      </c>
      <c r="B22" s="1" t="inlineStr">
        <is>
          <t>Goal</t>
        </is>
      </c>
      <c r="C22" s="1" t="inlineStr">
        <is>
          <t>Target</t>
        </is>
      </c>
      <c r="D22" s="1" t="inlineStr">
        <is>
          <t>Actual</t>
        </is>
      </c>
      <c r="E22" s="1" t="inlineStr">
        <is>
          <t>Status</t>
        </is>
      </c>
      <c r="F22" s="1" t="inlineStr">
        <is>
          <t>Notes</t>
        </is>
      </c>
    </row>
    <row r="23" ht="28" customHeight="1">
      <c r="A23" s="7" t="n">
        <v>1</v>
      </c>
      <c r="B23" s="6" t="inlineStr">
        <is>
          <t>Total Revenue (Cash-in-Bank)</t>
        </is>
      </c>
      <c r="C23" s="8" t="inlineStr">
        <is>
          <t>₹40-45L</t>
        </is>
      </c>
      <c r="D23" s="8" t="n"/>
      <c r="E23" s="8" t="n"/>
      <c r="F23" s="8" t="inlineStr">
        <is>
          <t>App + Learn primarily</t>
        </is>
      </c>
    </row>
    <row r="24">
      <c r="A24" s="10" t="n">
        <v>2</v>
      </c>
      <c r="B24" s="2" t="inlineStr">
        <is>
          <t>Burn Rate</t>
        </is>
      </c>
      <c r="C24" s="4" t="inlineStr">
        <is>
          <t>≤₹45L</t>
        </is>
      </c>
      <c r="D24" s="4" t="n"/>
      <c r="E24" s="4" t="n"/>
      <c r="F24" s="4" t="inlineStr">
        <is>
          <t>Salary ₹30L + ops + ads</t>
        </is>
      </c>
    </row>
    <row r="25">
      <c r="A25" s="7" t="n">
        <v>3</v>
      </c>
      <c r="B25" s="6" t="inlineStr">
        <is>
          <t>Runway</t>
        </is>
      </c>
      <c r="C25" s="8" t="inlineStr">
        <is>
          <t>≥8 months</t>
        </is>
      </c>
      <c r="D25" s="8" t="n"/>
      <c r="E25" s="8" t="n"/>
      <c r="F25" s="8" t="inlineStr">
        <is>
          <t>Depends on bridge</t>
        </is>
      </c>
    </row>
    <row r="26">
      <c r="A26" s="10" t="n">
        <v>4</v>
      </c>
      <c r="B26" s="2" t="inlineStr">
        <is>
          <t>Bridge Round</t>
        </is>
      </c>
      <c r="C26" s="4" t="inlineStr">
        <is>
          <t>₹1.2 Cr</t>
        </is>
      </c>
      <c r="D26" s="4" t="n"/>
      <c r="E26" s="4" t="n"/>
      <c r="F26" s="4" t="inlineStr">
        <is>
          <t>Data room ready</t>
        </is>
      </c>
    </row>
    <row r="27">
      <c r="A27" s="7" t="n">
        <v>5</v>
      </c>
      <c r="B27" s="6" t="inlineStr">
        <is>
          <t>Learn Break-Even</t>
        </is>
      </c>
      <c r="C27" s="8" t="inlineStr">
        <is>
          <t>Net positive</t>
        </is>
      </c>
      <c r="D27" s="8" t="n"/>
      <c r="E27" s="8" t="n"/>
      <c r="F27" s="8" t="inlineStr">
        <is>
          <t>Currently -4%</t>
        </is>
      </c>
    </row>
    <row r="28">
      <c r="A28" s="10" t="n">
        <v>6</v>
      </c>
      <c r="B28" s="2" t="inlineStr">
        <is>
          <t>App Content Launch</t>
        </is>
      </c>
      <c r="C28" s="4" t="inlineStr">
        <is>
          <t>Format decided + Module 1</t>
        </is>
      </c>
      <c r="D28" s="4" t="n"/>
      <c r="E28" s="4" t="n"/>
      <c r="F28" s="4" t="inlineStr">
        <is>
          <t>Currently blocked</t>
        </is>
      </c>
    </row>
    <row r="29">
      <c r="A29" s="7" t="n">
        <v>7</v>
      </c>
      <c r="B29" s="6" t="inlineStr">
        <is>
          <t>Referral Program (Learn)</t>
        </is>
      </c>
      <c r="C29" s="8" t="inlineStr">
        <is>
          <t>Launched + tracking</t>
        </is>
      </c>
      <c r="D29" s="8" t="n"/>
      <c r="E29" s="8" t="n"/>
      <c r="F29" s="8" t="inlineStr">
        <is>
          <t>Weeks delayed</t>
        </is>
      </c>
    </row>
    <row r="30">
      <c r="A30" s="10" t="n">
        <v>8</v>
      </c>
      <c r="B30" s="2" t="inlineStr">
        <is>
          <t>Team Performance</t>
        </is>
      </c>
      <c r="C30" s="4" t="inlineStr">
        <is>
          <t>≥70% avg achievement</t>
        </is>
      </c>
      <c r="D30" s="4" t="n"/>
      <c r="E30" s="4" t="n"/>
      <c r="F30" s="4" t="inlineStr">
        <is>
          <t>Currently ~45%</t>
        </is>
      </c>
    </row>
  </sheetData>
  <mergeCells count="4">
    <mergeCell ref="A3:F3"/>
    <mergeCell ref="A21:F21"/>
    <mergeCell ref="A13:F13"/>
    <mergeCell ref="A1:F1"/>
  </mergeCells>
  <pageMargins left="0.75" right="0.75" top="1" bottom="1" header="0.511811023622047" footer="0.511811023622047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2026-03-30T08:35:16Z</dcterms:created>
  <dcterms:modified xmlns:dcterms="http://purl.org/dc/terms/" xmlns:xsi="http://www.w3.org/2001/XMLSchema-instance" xsi:type="dcterms:W3CDTF">2026-04-27T07:26:56Z</dcterms:modified>
  <cp:lastModifiedBy>Aadhya Dhawan</cp:lastModifiedBy>
  <cp:revision>0</cp:revision>
</cp:coreProperties>
</file>